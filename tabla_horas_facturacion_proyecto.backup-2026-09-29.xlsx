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2026-08" sheetId="1" state="visible" r:id="rId1"/>
    <sheet xmlns:r="http://schemas.openxmlformats.org/officeDocument/2006/relationships" name="2026-09"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0.00 €"/>
  </numFmts>
  <fonts count="9">
    <font>
      <name val="Arial"/>
      <color rgb="FF000000"/>
      <sz val="10"/>
      <scheme val="minor"/>
    </font>
    <font>
      <name val="Calibri"/>
      <b val="1"/>
      <color rgb="FF1F3864"/>
      <sz val="12"/>
    </font>
    <font>
      <name val="Arial"/>
      <color rgb="FF000000"/>
      <sz val="10"/>
    </font>
    <font>
      <name val="Calibri"/>
      <i val="1"/>
      <color theme="1"/>
      <sz val="9"/>
    </font>
    <font>
      <name val="Calibri"/>
      <b val="1"/>
      <color rgb="FFFFFFFF"/>
      <sz val="10"/>
    </font>
    <font>
      <name val="Calibri"/>
      <b val="1"/>
      <color rgb="FF1F3864"/>
      <sz val="11"/>
    </font>
    <font>
      <name val="Arial"/>
      <color theme="1"/>
      <scheme val="minor"/>
    </font>
    <font>
      <name val="Arial"/>
      <b val="1"/>
      <color theme="1"/>
      <scheme val="minor"/>
    </font>
    <font>
      <name val="Arial"/>
      <strike val="1"/>
      <color rgb="FF000000"/>
      <sz val="10"/>
    </font>
  </fonts>
  <fills count="4">
    <fill>
      <patternFill/>
    </fill>
    <fill>
      <patternFill patternType="lightGray"/>
    </fill>
    <fill>
      <patternFill patternType="solid">
        <fgColor rgb="FF1F3864"/>
        <bgColor rgb="FF1F3864"/>
      </patternFill>
    </fill>
    <fill>
      <patternFill patternType="solid">
        <fgColor rgb="FFFFF2CC"/>
        <bgColor rgb="FFFFF2CC"/>
      </patternFill>
    </fill>
  </fills>
  <borders count="1">
    <border/>
  </borders>
  <cellStyleXfs count="1">
    <xf numFmtId="0" fontId="0" fillId="0" borderId="0"/>
  </cellStyleXfs>
  <cellXfs count="18">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0" borderId="0" pivotButton="0" quotePrefix="0" xfId="0"/>
    <xf numFmtId="164" fontId="2" fillId="0" borderId="0" applyAlignment="1" pivotButton="0" quotePrefix="0" xfId="0">
      <alignment vertical="top" wrapText="1"/>
    </xf>
    <xf numFmtId="0" fontId="2" fillId="0" borderId="0" applyAlignment="1" pivotButton="0" quotePrefix="0" xfId="0">
      <alignment vertical="top" wrapText="1"/>
    </xf>
    <xf numFmtId="0" fontId="6" fillId="0" borderId="0" pivotButton="0" quotePrefix="0" xfId="0"/>
    <xf numFmtId="165" fontId="2" fillId="0" borderId="0" pivotButton="0" quotePrefix="0" xfId="0"/>
    <xf numFmtId="0" fontId="7" fillId="0" borderId="0" pivotButton="0" quotePrefix="0" xfId="0"/>
    <xf numFmtId="0" fontId="2" fillId="0" borderId="0" applyAlignment="1" pivotButton="0" quotePrefix="0" xfId="0">
      <alignment vertical="top" wrapText="1"/>
    </xf>
    <xf numFmtId="165" fontId="7" fillId="0" borderId="0" pivotButton="0" quotePrefix="0" xfId="0"/>
    <xf numFmtId="0" fontId="6" fillId="0" borderId="0" pivotButton="0" quotePrefix="0" xfId="0"/>
    <xf numFmtId="0" fontId="3" fillId="3" borderId="0" applyAlignment="1" pivotButton="0" quotePrefix="0" xfId="0">
      <alignment vertical="top" wrapText="1"/>
    </xf>
    <xf numFmtId="0" fontId="0" fillId="0" borderId="0" pivotButton="0" quotePrefix="0" xfId="0"/>
    <xf numFmtId="164" fontId="8"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agosto 2026</t>
        </is>
      </c>
      <c r="K3" s="2" t="n"/>
      <c r="L3" s="2" t="n"/>
      <c r="M3" s="2" t="n"/>
      <c r="N3" s="2" t="n"/>
      <c r="O3" s="2" t="n"/>
    </row>
    <row r="4">
      <c r="A4" s="6" t="n">
        <v>46243</v>
      </c>
      <c r="B4" s="11" t="inlineStr">
        <is>
          <t>BC</t>
        </is>
      </c>
      <c r="C4" s="11" t="inlineStr">
        <is>
          <t>BC-1</t>
        </is>
      </c>
      <c r="D4" s="11" t="n">
        <v>6</v>
      </c>
      <c r="E4" s="11" t="inlineStr">
        <is>
          <t>Grabación continua: EvidenceStore (buffer en anillo, pre-roll 120 s, segmentos 8 MB), reescritura de RecordingActivity, retirada de CameraController</t>
        </is>
      </c>
      <c r="F4" s="11" t="inlineStr">
        <is>
          <t>d4a4709</t>
        </is>
      </c>
      <c r="G4" s="11" t="inlineStr">
        <is>
          <t>No</t>
        </is>
      </c>
      <c r="H4" s="11" t="n"/>
      <c r="J4" s="4" t="inlineStr">
        <is>
          <t>Aplicación</t>
        </is>
      </c>
      <c r="K4" s="4" t="inlineStr">
        <is>
          <t>Bloques</t>
        </is>
      </c>
      <c r="L4" s="4" t="inlineStr">
        <is>
          <t>Días activ.</t>
        </is>
      </c>
      <c r="M4" s="4" t="inlineStr">
        <is>
          <t>Líneas código</t>
        </is>
      </c>
      <c r="N4" s="4" t="inlineStr">
        <is>
          <t>Horas</t>
        </is>
      </c>
      <c r="O4" s="4" t="inlineStr">
        <is>
          <t>Importe</t>
        </is>
      </c>
    </row>
    <row r="5">
      <c r="A5" s="6" t="n">
        <v>46248</v>
      </c>
      <c r="B5" s="11" t="inlineStr">
        <is>
          <t>BC</t>
        </is>
      </c>
      <c r="C5" s="11" t="inlineStr">
        <is>
          <t>BC-2</t>
        </is>
      </c>
      <c r="D5" s="11" t="n">
        <v>6</v>
      </c>
      <c r="E5" s="11" t="inlineStr">
        <is>
          <t>Cifrado (medicion): CryptoBenchmark (SHA-256 + AES-256-GCM por bloques), RecorderWatch (watchdog de grabaciones largas), endpoint /benchmark, fix de path traversal, 2 scripts Python, testing con videos reales</t>
        </is>
      </c>
      <c r="F5" s="11" t="inlineStr">
        <is>
          <t>sin commitear</t>
        </is>
      </c>
      <c r="G5" s="11" t="inlineStr">
        <is>
          <t>No</t>
        </is>
      </c>
      <c r="H5" s="11" t="n"/>
      <c r="J5" s="13" t="inlineStr">
        <is>
          <t>BodyCamServer</t>
        </is>
      </c>
      <c r="K5" s="11" t="inlineStr">
        <is>
          <t>BC-1, BC-2, BC-3, BC-4, BC-5, BC-6</t>
        </is>
      </c>
      <c r="L5" s="13">
        <f>SUMPRODUCT(($B$4:$B$40="BC")/COUNTIFS($A$4:$A$40,$A$4:$A$40&amp;"",$B$4:$B$40,$B$4:$B$40&amp;""))</f>
        <v/>
      </c>
      <c r="M5" s="13" t="n">
        <v>6860</v>
      </c>
      <c r="N5" s="13">
        <f>SUMIFS($D$4:$D$40,$B$4:$B$40,"BC",$G$4:$G$40,"&lt;&gt;Sí")</f>
        <v/>
      </c>
      <c r="O5" s="9">
        <f>N5*$K$9</f>
        <v/>
      </c>
    </row>
    <row r="6">
      <c r="A6" s="6" t="n">
        <v>46249</v>
      </c>
      <c r="B6" s="11" t="inlineStr">
        <is>
          <t>BC</t>
        </is>
      </c>
      <c r="C6" s="11" t="n"/>
      <c r="D6" s="11" t="n">
        <v>0</v>
      </c>
      <c r="E6" s="11" t="inlineStr">
        <is>
          <t>Alta del sistema de seguimiento de horas (cubre las dos apps)</t>
        </is>
      </c>
      <c r="F6" s="11" t="inlineStr">
        <is>
          <t>pendiente</t>
        </is>
      </c>
      <c r="G6" s="11" t="inlineStr">
        <is>
          <t>No</t>
        </is>
      </c>
      <c r="H6" s="11" t="n"/>
      <c r="J6" s="13" t="inlineStr">
        <is>
          <t>AeriaNexusPrototype</t>
        </is>
      </c>
      <c r="K6" s="11" t="inlineStr">
        <is>
          <t>AN-1</t>
        </is>
      </c>
      <c r="L6" s="13">
        <f>SUMPRODUCT(($B$4:$B$40="AN")/COUNTIFS($A$4:$A$40,$A$4:$A$40&amp;"",$B$4:$B$40,$B$4:$B$40&amp;""))</f>
        <v/>
      </c>
      <c r="M6" s="13" t="n">
        <v>799</v>
      </c>
      <c r="N6" s="13">
        <f>SUMIFS($D$4:$D$40,$B$4:$B$40,"AN",$G$4:$G$40,"&lt;&gt;Sí")</f>
        <v/>
      </c>
      <c r="O6" s="9">
        <f>N6*$K$9</f>
        <v/>
      </c>
    </row>
    <row r="7">
      <c r="A7" s="6" t="n">
        <v>46249</v>
      </c>
      <c r="B7" s="11" t="inlineStr">
        <is>
          <t>BC</t>
        </is>
      </c>
      <c r="C7" s="11" t="inlineStr">
        <is>
          <t>BC-3</t>
        </is>
      </c>
      <c r="D7" s="11" t="n">
        <v>1.5</v>
      </c>
      <c r="E7" s="11" t="inlineStr">
        <is>
          <t>Pantalla en reposo al grabar + cronometro en RecordingActivity. Compilado y desplegado en la unidad</t>
        </is>
      </c>
      <c r="F7" s="11" t="inlineStr">
        <is>
          <t>sin commitear</t>
        </is>
      </c>
      <c r="G7" s="11" t="inlineStr">
        <is>
          <t>No</t>
        </is>
      </c>
      <c r="H7" s="11" t="n"/>
      <c r="J7" s="10" t="inlineStr">
        <is>
          <t>TOTAL DEL MES</t>
        </is>
      </c>
      <c r="K7" s="13">
        <f>SUMPRODUCT(($C$4:$C$40&lt;&gt;"")/COUNTIF($C$4:$C$40,$C$4:$C$40&amp;""))</f>
        <v/>
      </c>
      <c r="L7" s="13">
        <f>SUMPRODUCT(($A$4:$A$40&lt;&gt;"")/COUNTIF($A$4:$A$40,$A$4:$A$40&amp;""))</f>
        <v/>
      </c>
      <c r="M7" s="10">
        <f>SUM(M5:M6)</f>
        <v/>
      </c>
      <c r="N7" s="10">
        <f>SUM(N5:N6)</f>
        <v/>
      </c>
      <c r="O7" s="12">
        <f>SUM(O5:O6)</f>
        <v/>
      </c>
    </row>
    <row r="8">
      <c r="A8" s="6" t="n">
        <v>46249</v>
      </c>
      <c r="B8" s="11" t="inlineStr">
        <is>
          <t>BC</t>
        </is>
      </c>
      <c r="C8" s="11" t="inlineStr">
        <is>
          <t>BC-2</t>
        </is>
      </c>
      <c r="D8" s="11" t="n">
        <v>3</v>
      </c>
      <c r="E8" s="11" t="inlineStr">
        <is>
          <t>Cifrado (medicion): CryptoBenchmark (SHA-256 + AES-256-GCM por bloques) CONTINUACION</t>
        </is>
      </c>
      <c r="F8" s="11" t="inlineStr">
        <is>
          <t>sin commitear</t>
        </is>
      </c>
      <c r="G8" s="11" t="inlineStr">
        <is>
          <t>No</t>
        </is>
      </c>
      <c r="H8" s="11" t="n"/>
      <c r="J8" s="2" t="n"/>
      <c r="K8" s="2" t="n"/>
      <c r="L8" s="2" t="n"/>
      <c r="M8" s="2" t="n"/>
      <c r="N8" s="2" t="n"/>
      <c r="O8" s="2" t="n"/>
    </row>
    <row r="9">
      <c r="A9" s="6" t="n">
        <v>46250</v>
      </c>
      <c r="B9" s="11" t="inlineStr">
        <is>
          <t>BC</t>
        </is>
      </c>
      <c r="C9" s="11" t="inlineStr">
        <is>
          <t>BC-1</t>
        </is>
      </c>
      <c r="D9" s="11" t="n">
        <v>2</v>
      </c>
      <c r="E9" s="11" t="inlineStr">
        <is>
          <t>Funcionalidad Subir a servidor yes/no, visualizacion de tiempo de grabacion</t>
        </is>
      </c>
      <c r="F9" s="11" t="inlineStr">
        <is>
          <t>sin commitear</t>
        </is>
      </c>
      <c r="G9" s="11" t="inlineStr">
        <is>
          <t>No</t>
        </is>
      </c>
      <c r="H9" s="11" t="n"/>
      <c r="J9" s="10" t="inlineStr">
        <is>
          <t>Tarifa (€/h)</t>
        </is>
      </c>
      <c r="K9" s="13" t="n">
        <v>20</v>
      </c>
      <c r="L9" s="2" t="n"/>
      <c r="M9" s="2" t="n"/>
      <c r="N9" s="2" t="n"/>
      <c r="O9" s="2" t="n"/>
    </row>
    <row r="10">
      <c r="A10" s="6" t="n">
        <v>46250</v>
      </c>
      <c r="B10" s="11" t="inlineStr">
        <is>
          <t>BC</t>
        </is>
      </c>
      <c r="C10" s="11" t="n"/>
      <c r="D10" s="11" t="n">
        <v>3</v>
      </c>
      <c r="E10" s="11" t="inlineStr">
        <is>
          <t>Reuniones semana del 17 agosto al 28</t>
        </is>
      </c>
      <c r="F10" s="11" t="n"/>
      <c r="G10" s="11" t="inlineStr">
        <is>
          <t>No</t>
        </is>
      </c>
      <c r="H10" s="11" t="n"/>
      <c r="J10" s="2" t="n"/>
      <c r="K10" s="2" t="n"/>
      <c r="L10" s="2" t="n"/>
      <c r="M10" s="2" t="n"/>
      <c r="N10" s="2" t="n"/>
      <c r="O10" s="2" t="n"/>
    </row>
    <row r="11">
      <c r="A11" s="6" t="n">
        <v>46257</v>
      </c>
      <c r="B11" s="11" t="inlineStr">
        <is>
          <t>BC</t>
        </is>
      </c>
      <c r="C11" s="11" t="n"/>
      <c r="D11" s="11" t="n">
        <v>0.5</v>
      </c>
      <c r="E11" s="11" t="inlineStr">
        <is>
          <t>Analisis del Security Feature List (34 features: 15 viables sin backend, 12 parciales, 7 bloqueadas), ruta de desarrollo hasta fin de septiembre y actualizacion del seguimiento</t>
        </is>
      </c>
      <c r="F11" s="11" t="inlineStr">
        <is>
          <t>db04e55</t>
        </is>
      </c>
      <c r="G11" s="11" t="inlineStr">
        <is>
          <t>No</t>
        </is>
      </c>
      <c r="H11" s="11" t="n"/>
      <c r="J11" s="2" t="n"/>
      <c r="K11" s="2" t="n"/>
      <c r="L11" s="2" t="n"/>
      <c r="M11" s="2" t="n"/>
      <c r="N11" s="2" t="n"/>
      <c r="O11" s="2" t="n"/>
    </row>
    <row r="12">
      <c r="A12" s="6" t="n">
        <v>46257</v>
      </c>
      <c r="B12" s="11" t="inlineStr">
        <is>
          <t>BC</t>
        </is>
      </c>
      <c r="C12" s="11" t="inlineStr">
        <is>
          <t>BC-4</t>
        </is>
      </c>
      <c r="D12" s="11" t="n">
        <v>2</v>
      </c>
      <c r="E12" s="11" t="inlineStr">
        <is>
          <t>Panel de control: 3 bugs de la pregunta de envio (finish() en paradas redundantes, rebote de F2, arranque de grabacion con la pregunta abierta), rediseno para pantalla de 3 cm con iconos vectoriales, migracion de las dos pantallas a Compose con 8 previews, fullscreen real (tema, inmersivo, insets del decor)</t>
        </is>
      </c>
      <c r="F12" s="11" t="inlineStr">
        <is>
          <t>db04e55, a599da9</t>
        </is>
      </c>
      <c r="G12" s="11" t="inlineStr">
        <is>
          <t>No</t>
        </is>
      </c>
      <c r="H12" s="11" t="n"/>
      <c r="J12" s="2" t="n"/>
      <c r="K12" s="2" t="n"/>
      <c r="L12" s="2" t="n"/>
      <c r="M12" s="2" t="n"/>
      <c r="N12" s="2" t="n"/>
      <c r="O12" s="2" t="n"/>
    </row>
    <row r="13">
      <c r="A13" s="6" t="n">
        <v>46257</v>
      </c>
      <c r="B13" s="11" t="inlineStr">
        <is>
          <t>BC</t>
        </is>
      </c>
      <c r="C13" s="11" t="inlineStr">
        <is>
          <t>BC-1</t>
        </is>
      </c>
      <c r="D13" s="11" t="n">
        <v>1</v>
      </c>
      <c r="E13" s="11" t="inlineStr">
        <is>
          <t>Grabacion continua integrada en develop (merge de main): anillo + incidentes + manifest sobre la UI Compose. Buffer automatico al abrir, pre-roll de 20 s, LED azul en servicio (LedSignals). Depuracion en la unidad: el parche de armado no habia llegado al disco; ciclo completo grabar-&gt;manifest-&gt;rearme validado en hardware</t>
        </is>
      </c>
      <c r="F13" s="11" t="inlineStr">
        <is>
          <t>06008b2, 56d5478, 99b42a6, f2e7e52</t>
        </is>
      </c>
      <c r="G13" s="11" t="inlineStr">
        <is>
          <t>No</t>
        </is>
      </c>
      <c r="H13" s="11" t="n"/>
      <c r="J13" s="2" t="n"/>
      <c r="K13" s="2" t="n"/>
      <c r="L13" s="2" t="n"/>
      <c r="M13" s="2" t="n"/>
      <c r="N13" s="2" t="n"/>
      <c r="O13" s="2" t="n"/>
    </row>
    <row r="14">
      <c r="A14" s="6" t="n">
        <v>46257</v>
      </c>
      <c r="B14" s="11" t="inlineStr">
        <is>
          <t>BC</t>
        </is>
      </c>
      <c r="C14" s="11" t="inlineStr">
        <is>
          <t>BC-1</t>
        </is>
      </c>
      <c r="D14" s="11" t="n">
        <v>2</v>
      </c>
      <c r="E14" s="11" t="inlineStr">
        <is>
          <t>Evidencia al estandar bodycam, validado en la unidad: identidad del oficial en overlay + manifest (Officer.kt hardcodeado con TODO), un solo MP4 por incidente (IncidentAssembler, remux sin recodificar), rotulo del oficial quemado en los frames (VideoStamper, decode-GL-encode por hardware; el firmware no trae watermark), nombres placa_fecha_hora, numeracion secuencial INC_000001 con contador auto-reparable, .nomedia en el anillo</t>
        </is>
      </c>
      <c r="F14" s="11" t="inlineStr">
        <is>
          <t>671cab7, 48892dd, b00332f, 4373116, a25c0c7</t>
        </is>
      </c>
      <c r="G14" s="11" t="inlineStr">
        <is>
          <t>No</t>
        </is>
      </c>
      <c r="H14" s="11" t="n"/>
      <c r="J14" s="2" t="n"/>
      <c r="K14" s="2" t="n"/>
      <c r="L14" s="2" t="n"/>
      <c r="M14" s="2" t="n"/>
      <c r="N14" s="2" t="n"/>
      <c r="O14" s="2" t="n"/>
    </row>
    <row r="15">
      <c r="A15" s="6" t="n">
        <v>46259</v>
      </c>
      <c r="B15" s="11" t="inlineStr">
        <is>
          <t>BC</t>
        </is>
      </c>
      <c r="C15" s="11" t="inlineStr">
        <is>
          <t>BC-5</t>
        </is>
      </c>
      <c r="D15" s="11" t="n">
        <v>3</v>
      </c>
      <c r="E15" s="11" t="inlineStr">
        <is>
          <t>Cifrado y hash de la evidencia (IMPLEMENTACION): formato FEVD v1 documentado como contrato de las dos apps (docs/CRYPTO-FORMAT.md), EvidenceCrypto (AES-256-GCM en bloques de 1 MB con nonce y AAD derivados del indice, mas SHA-256 en la misma pasada), EvidenceKeys (DEK por fichero + envoltorios: Keystore del dispositivo funcional, RSA-OAEP del servidor listo y desactivado), hashes persistidos en el manifest, disparo al cerrar el incidente, descifrador Python de referencia. Validado en la unidad: 20,3 MB cifrados en 397 ms, descifrado en PC identico byte a byte. Version 1.2 (versionCode 3)</t>
        </is>
      </c>
      <c r="F15" s="11" t="inlineStr">
        <is>
          <t>81f0995</t>
        </is>
      </c>
      <c r="G15" s="11" t="inlineStr">
        <is>
          <t>No</t>
        </is>
      </c>
      <c r="H15" s="11" t="n"/>
      <c r="J15" s="2" t="n"/>
      <c r="K15" s="2" t="n"/>
      <c r="L15" s="2" t="n"/>
      <c r="M15" s="2" t="n"/>
      <c r="N15" s="2" t="n"/>
      <c r="O15" s="2" t="n"/>
    </row>
    <row r="16">
      <c r="A16" s="6" t="n">
        <v>46259</v>
      </c>
      <c r="B16" s="11" t="inlineStr">
        <is>
          <t>AN</t>
        </is>
      </c>
      <c r="C16" s="11" t="inlineStr">
        <is>
          <t>AN-1</t>
        </is>
      </c>
      <c r="D16" s="11" t="n">
        <v>3</v>
      </c>
      <c r="E16" s="11" t="inlineStr">
        <is>
          <t>Cifrado y hash de la evidencia (PORT AL TELEFONO): EvidenceCrypto y EvidenceKeys identicos byte a byte a los de la bodycam salvo el alias de Keystore, enganche al cerrar la captura, .fev a almacenamiento privado (fuera de la galeria), hashes simulados sustituidos por SHA-256 real. Compila; sin validar en telefono</t>
        </is>
      </c>
      <c r="F16" s="11" t="inlineStr">
        <is>
          <t>sin commitear</t>
        </is>
      </c>
      <c r="G16" s="11" t="inlineStr">
        <is>
          <t>No</t>
        </is>
      </c>
      <c r="H16" s="11" t="n"/>
      <c r="J16" s="2" t="n"/>
      <c r="K16" s="2" t="n"/>
      <c r="L16" s="2" t="n"/>
      <c r="M16" s="2" t="n"/>
      <c r="N16" s="2" t="n"/>
      <c r="O16" s="2" t="n"/>
    </row>
    <row r="17">
      <c r="A17" s="6" t="n">
        <v>46260</v>
      </c>
      <c r="B17" s="11" t="inlineStr">
        <is>
          <t>BC</t>
        </is>
      </c>
      <c r="C17" s="11" t="inlineStr">
        <is>
          <t>BC-6</t>
        </is>
      </c>
      <c r="D17" s="11" t="n">
        <v>4</v>
      </c>
      <c r="E17" s="11" t="inlineStr">
        <is>
          <t>Subida por bloques reanudable en la bodycam: cliente tus 1.0.0 (4 operaciones, backoff, reanudación por offset del servidor), sesión persistida, config por fichero, servidor stub con corte inyectable, contrato para backend. Clave srv: de desarrollo activada — la evidencia deja de subirse en claro. Validado en la unidad: 9 incidentes, 61,9 MB, corte inyectado,   corte real de WiFi y reanudación tras reinicio</t>
        </is>
      </c>
      <c r="F17" s="11" t="n"/>
      <c r="G17" s="11" t="n"/>
      <c r="H17" s="11" t="n"/>
      <c r="J17" s="2" t="n"/>
      <c r="K17" s="2" t="n"/>
      <c r="L17" s="2" t="n"/>
      <c r="M17" s="2" t="n"/>
      <c r="N17" s="2" t="n"/>
      <c r="O17" s="2" t="n"/>
    </row>
    <row r="18">
      <c r="A18" s="6" t="n">
        <v>46260</v>
      </c>
      <c r="B18" s="11" t="inlineStr">
        <is>
          <t>AN</t>
        </is>
      </c>
      <c r="C18" s="11" t="inlineStr">
        <is>
          <t>AN-1</t>
        </is>
      </c>
      <c r="D18" s="11" t="n">
        <v>3</v>
      </c>
      <c r="E18" s="11" t="inlineStr">
        <is>
          <t>Destinatario srv: del teléfono alineado con el de la unidad, y validado en hardware: cifra para los dos, el servidor lo abre, el hash de Room es el real</t>
        </is>
      </c>
      <c r="F18" s="11" t="n"/>
      <c r="G18" s="11" t="n"/>
      <c r="H18" s="11" t="n"/>
      <c r="J18" s="2" t="n"/>
      <c r="K18" s="2" t="n"/>
      <c r="L18" s="2" t="n"/>
      <c r="M18" s="2" t="n"/>
      <c r="N18" s="2" t="n"/>
      <c r="O18" s="2" t="n"/>
    </row>
    <row r="19">
      <c r="A19" s="6" t="n">
        <v>46260</v>
      </c>
      <c r="B19" s="11" t="inlineStr">
        <is>
          <t>AN</t>
        </is>
      </c>
      <c r="C19" s="11" t="inlineStr">
        <is>
          <t>AN-1</t>
        </is>
      </c>
      <c r="D19" s="11" t="n">
        <v>2</v>
      </c>
      <c r="E19" s="11" t="inlineStr">
        <is>
          <t>Subida por bloques portada al teléfono: data/upload/ completo, enganche en foto, vídeo y audio, reconciliación del estado  de sincronización. Validado: vídeo de 68 MB con corte y reanudación, más dos ficheros retomados solos al arrancar</t>
        </is>
      </c>
      <c r="F19" s="11" t="n"/>
      <c r="G19" s="11" t="n"/>
      <c r="H19" s="11" t="n"/>
      <c r="J19" s="2" t="n"/>
      <c r="K19" s="2" t="n"/>
      <c r="L19" s="2" t="n"/>
      <c r="M19" s="2" t="n"/>
      <c r="N19" s="2" t="n"/>
      <c r="O19" s="2" t="n"/>
    </row>
    <row r="20">
      <c r="A20" s="6" t="n">
        <v>46261</v>
      </c>
      <c r="B20" s="11" t="inlineStr">
        <is>
          <t>BC</t>
        </is>
      </c>
      <c r="C20" s="11" t="inlineStr">
        <is>
          <t>BC-1</t>
        </is>
      </c>
      <c r="D20" s="11" t="n">
        <v>1</v>
      </c>
      <c r="E20" s="11" t="inlineStr">
        <is>
          <t>Inventario de entrega a backend: revisión del contrato de subida, formato de cifrado y manifest.
Detectados 4 huecos (esquema del manifest.json sin documentar, falta juego de muestra, endpoint HTTPS + CA, rechazo
de kid dev-*)</t>
        </is>
      </c>
      <c r="F20" s="11" t="n"/>
      <c r="G20" s="11" t="n"/>
      <c r="H20" s="11" t="n"/>
      <c r="J20" s="2" t="n"/>
      <c r="K20" s="2" t="n"/>
      <c r="L20" s="2" t="n"/>
      <c r="M20" s="2" t="n"/>
      <c r="N20" s="2" t="n"/>
      <c r="O20" s="2" t="n"/>
    </row>
    <row r="21" ht="15.75" customHeight="1" s="15">
      <c r="A21" s="6" t="n">
        <v>46261</v>
      </c>
      <c r="B21" s="11" t="inlineStr">
        <is>
          <t>BC</t>
        </is>
      </c>
      <c r="C21" s="11" t="inlineStr">
        <is>
          <t>BC-1</t>
        </is>
      </c>
      <c r="D21" s="11" t="n">
        <v>1</v>
      </c>
      <c r="E21" s="11" t="inlineStr">
        <is>
          <t xml:space="preserve"> Firma de release: keystore único de proyecto (PKCS12, RSA 4096), signingConfig vía local.properties,
versión 1.2→1.3 (code 4), APK firmado y verificado (v2)</t>
        </is>
      </c>
      <c r="F21" s="11" t="n"/>
      <c r="G21" s="11" t="n"/>
      <c r="H21" s="11" t="n"/>
      <c r="J21" s="2" t="n"/>
      <c r="K21" s="2" t="n"/>
      <c r="L21" s="2" t="n"/>
      <c r="M21" s="2" t="n"/>
      <c r="N21" s="2" t="n"/>
      <c r="O21" s="2" t="n"/>
    </row>
    <row r="22" ht="15.75" customHeight="1" s="15">
      <c r="A22" s="6" t="n">
        <v>46261</v>
      </c>
      <c r="B22" s="11" t="inlineStr">
        <is>
          <t>AN</t>
        </is>
      </c>
      <c r="C22" s="11" t="inlineStr">
        <is>
          <t>AN-1</t>
        </is>
      </c>
      <c r="D22" s="11" t="n">
        <v>1</v>
      </c>
      <c r="E22" s="11" t="inlineStr">
        <is>
          <t xml:space="preserve"> Firma de release con el mismo keystore, versión 1.0→1.1 (code 2), APK firmado y verificado. R8 con minify</t>
        </is>
      </c>
      <c r="F22" s="11" t="n"/>
      <c r="G22" s="11" t="n"/>
      <c r="H22" s="11" t="n"/>
      <c r="J22" s="2" t="n"/>
      <c r="K22" s="2" t="n"/>
      <c r="L22" s="2" t="n"/>
      <c r="M22" s="2" t="n"/>
      <c r="N22" s="2" t="n"/>
      <c r="O22" s="2" t="n"/>
    </row>
    <row r="23" ht="15.75" customHeight="1" s="15">
      <c r="A23" s="6" t="n">
        <v>46263</v>
      </c>
      <c r="B23" s="11" t="inlineStr">
        <is>
          <t>AN</t>
        </is>
      </c>
      <c r="C23" s="11" t="inlineStr">
        <is>
          <t>AN-1</t>
        </is>
      </c>
      <c r="D23" s="11" t="n">
        <v>3</v>
      </c>
      <c r="E23" s="11" t="inlineStr">
        <is>
          <t xml:space="preserve"> Bóveda con contraseña: EvidenceVault, RSA + PBKDF2 + Keystore, destinatarios de clave.  Captura fuera de la galería: LocalEvidenceRepository sin MediaStore, borrado del claro. Pantalla Evidence Vault, VaultRepository, entrada desde Profile</t>
        </is>
      </c>
      <c r="F23" s="11" t="n"/>
      <c r="G23" s="11" t="n"/>
      <c r="H23" s="11" t="n"/>
      <c r="J23" s="2" t="n"/>
      <c r="K23" s="2" t="n"/>
      <c r="L23" s="2" t="n"/>
      <c r="M23" s="2" t="n"/>
      <c r="N23" s="2" t="n"/>
      <c r="O23" s="2" t="n"/>
    </row>
    <row r="24" ht="15.75" customHeight="1" s="15">
      <c r="A24" s="6" t="n">
        <v>46264</v>
      </c>
      <c r="B24" s="11" t="inlineStr">
        <is>
          <t>AN</t>
        </is>
      </c>
      <c r="C24" s="11" t="inlineStr">
        <is>
          <t>AN-1</t>
        </is>
      </c>
      <c r="D24" s="11" t="n">
        <v>2</v>
      </c>
      <c r="E24" s="11" t="inlineStr">
        <is>
          <t xml:space="preserve"> reproductor de audio dentro de la app , nota de audio enlazada al cerrar el incidente. Clasificación de la nota de audio + cierre encadenado; pruebas con adb</t>
        </is>
      </c>
      <c r="F24" s="11" t="n"/>
      <c r="G24" s="11" t="n"/>
      <c r="H24" s="11" t="n"/>
      <c r="J24" s="2" t="n"/>
      <c r="K24" s="2" t="n"/>
      <c r="L24" s="2" t="n"/>
      <c r="M24" s="2" t="n"/>
      <c r="N24" s="2" t="n"/>
      <c r="O24" s="2" t="n"/>
    </row>
    <row r="25" ht="15.75" customHeight="1" s="15">
      <c r="A25" s="6" t="n">
        <v>46264</v>
      </c>
      <c r="B25" s="11" t="inlineStr">
        <is>
          <t>BC</t>
        </is>
      </c>
      <c r="C25" s="11" t="inlineStr">
        <is>
          <t>BC-1</t>
        </is>
      </c>
      <c r="D25" s="11" t="n">
        <v>1</v>
      </c>
      <c r="E25" s="11" t="inlineStr">
        <is>
          <t>Avance documentacion</t>
        </is>
      </c>
      <c r="F25" s="11" t="n"/>
      <c r="G25" s="11" t="n"/>
      <c r="H25" s="11" t="n"/>
      <c r="J25" s="2" t="n"/>
      <c r="K25" s="2" t="n"/>
      <c r="L25" s="2" t="n"/>
      <c r="M25" s="2" t="n"/>
      <c r="N25" s="2" t="n"/>
      <c r="O25" s="2" t="n"/>
    </row>
    <row r="26" ht="15.75" customHeight="1" s="15">
      <c r="A26" s="2" t="n"/>
      <c r="B26" s="2" t="n"/>
      <c r="C26" s="2" t="n"/>
      <c r="D26" s="2" t="n"/>
      <c r="E26" s="2" t="n"/>
      <c r="F26" s="2" t="n"/>
      <c r="G26" s="2" t="n"/>
      <c r="H26" s="2" t="n"/>
      <c r="J26" s="2" t="n"/>
      <c r="K26" s="2" t="n"/>
      <c r="L26" s="2" t="n"/>
      <c r="M26" s="2" t="n"/>
      <c r="N26" s="2" t="n"/>
      <c r="O26" s="2" t="n"/>
    </row>
    <row r="27" ht="15.75" customHeight="1" s="15">
      <c r="A27" s="2" t="n"/>
      <c r="B27" s="2" t="n"/>
      <c r="C27" s="2" t="n"/>
      <c r="D27" s="2" t="n"/>
      <c r="E27" s="2" t="n"/>
      <c r="F27" s="2" t="n"/>
      <c r="G27" s="2" t="n"/>
      <c r="H27" s="2" t="n"/>
      <c r="J27" s="2" t="n"/>
      <c r="K27" s="2" t="n"/>
      <c r="L27" s="2" t="n"/>
      <c r="M27" s="2" t="n"/>
      <c r="N27" s="2" t="n"/>
      <c r="O27" s="2" t="n"/>
    </row>
    <row r="28" ht="15.75" customHeight="1" s="15">
      <c r="A28" s="2" t="n"/>
      <c r="B28" s="2" t="n"/>
      <c r="C28" s="2" t="n"/>
      <c r="D28" s="2" t="n"/>
      <c r="E28" s="2" t="n"/>
      <c r="F28" s="2" t="n"/>
      <c r="G28" s="2" t="n"/>
      <c r="H28" s="2" t="n"/>
      <c r="J28" s="2" t="n"/>
      <c r="K28" s="2" t="n"/>
      <c r="L28" s="2" t="n"/>
      <c r="M28" s="2" t="n"/>
      <c r="N28" s="2" t="n"/>
      <c r="O28" s="2" t="n"/>
    </row>
    <row r="29" ht="15.75" customHeight="1" s="15">
      <c r="A29" s="2" t="n"/>
      <c r="B29" s="2" t="n"/>
      <c r="C29" s="2" t="n"/>
      <c r="D29" s="2" t="n"/>
      <c r="E29" s="2" t="n"/>
      <c r="F29" s="2" t="n"/>
      <c r="G29" s="2" t="n"/>
      <c r="H29" s="2" t="n"/>
      <c r="J29" s="2" t="n"/>
      <c r="K29" s="2" t="n"/>
      <c r="L29" s="2" t="n"/>
      <c r="M29" s="2" t="n"/>
      <c r="N29" s="2" t="n"/>
      <c r="O29" s="2" t="n"/>
    </row>
    <row r="30" ht="15.75" customHeight="1" s="15">
      <c r="A30" s="2" t="n"/>
      <c r="B30" s="2" t="n"/>
      <c r="C30" s="2" t="n"/>
      <c r="D30" s="2" t="n"/>
      <c r="E30" s="2" t="n"/>
      <c r="F30" s="2" t="n"/>
      <c r="G30" s="2" t="n"/>
      <c r="H30" s="2" t="n"/>
      <c r="J30" s="2" t="n"/>
      <c r="K30" s="2" t="n"/>
      <c r="L30" s="2" t="n"/>
      <c r="M30" s="2" t="n"/>
      <c r="N30" s="2" t="n"/>
      <c r="O30" s="2" t="n"/>
    </row>
    <row r="31" ht="15.75" customHeight="1" s="15">
      <c r="A31" s="2" t="n"/>
      <c r="B31" s="2" t="n"/>
      <c r="C31" s="2" t="n"/>
      <c r="D31" s="2" t="n"/>
      <c r="E31" s="2" t="n"/>
      <c r="F31" s="2" t="n"/>
      <c r="G31" s="2" t="n"/>
      <c r="H31" s="2" t="n"/>
      <c r="J31" s="2" t="n"/>
      <c r="K31" s="2" t="n"/>
      <c r="L31" s="2" t="n"/>
      <c r="M31" s="2" t="n"/>
      <c r="N31" s="2" t="n"/>
      <c r="O31" s="2" t="n"/>
    </row>
    <row r="32" ht="15.75" customHeight="1" s="15">
      <c r="A32" s="2" t="n"/>
      <c r="B32" s="2" t="n"/>
      <c r="C32" s="2" t="n"/>
      <c r="D32" s="2" t="n"/>
      <c r="E32" s="2" t="n"/>
      <c r="F32" s="2" t="n"/>
      <c r="G32" s="2" t="n"/>
      <c r="H32" s="2" t="n"/>
      <c r="J32" s="2" t="n"/>
      <c r="K32" s="2" t="n"/>
      <c r="L32" s="2" t="n"/>
      <c r="M32" s="2" t="n"/>
      <c r="N32" s="2" t="n"/>
      <c r="O32" s="2" t="n"/>
    </row>
    <row r="33" ht="15.75" customHeight="1" s="15">
      <c r="A33" s="2" t="n"/>
      <c r="B33" s="2" t="n"/>
      <c r="C33" s="2" t="n"/>
      <c r="D33" s="2" t="n"/>
      <c r="E33" s="2" t="n"/>
      <c r="F33" s="2" t="n"/>
      <c r="G33" s="2" t="n"/>
      <c r="H33" s="2" t="n"/>
      <c r="J33" s="2" t="n"/>
      <c r="K33" s="2" t="n"/>
      <c r="L33" s="2" t="n"/>
      <c r="M33" s="2" t="n"/>
      <c r="N33" s="2" t="n"/>
      <c r="O33" s="2" t="n"/>
    </row>
    <row r="34" ht="15.75" customHeight="1" s="15">
      <c r="A34" s="2" t="n"/>
      <c r="B34" s="2" t="n"/>
      <c r="C34" s="2" t="n"/>
      <c r="D34" s="2" t="n"/>
      <c r="E34" s="2" t="n"/>
      <c r="F34" s="2" t="n"/>
      <c r="G34" s="2" t="n"/>
      <c r="H34" s="2" t="n"/>
      <c r="J34" s="2" t="n"/>
      <c r="K34" s="2" t="n"/>
      <c r="L34" s="2" t="n"/>
      <c r="M34" s="2" t="n"/>
      <c r="N34" s="2" t="n"/>
      <c r="O34" s="2" t="n"/>
    </row>
    <row r="35" ht="15.75" customHeight="1" s="15">
      <c r="A35" s="2" t="n"/>
      <c r="B35" s="2" t="n"/>
      <c r="C35" s="2" t="n"/>
      <c r="D35" s="2" t="n"/>
      <c r="E35" s="2" t="n"/>
      <c r="F35" s="2" t="n"/>
      <c r="G35" s="2" t="n"/>
      <c r="H35" s="2" t="n"/>
      <c r="J35" s="2" t="n"/>
      <c r="K35" s="2" t="n"/>
      <c r="L35" s="2" t="n"/>
      <c r="M35" s="2" t="n"/>
      <c r="N35" s="2" t="n"/>
      <c r="O35" s="2" t="n"/>
    </row>
    <row r="36" ht="15.75" customHeight="1" s="15">
      <c r="A36" s="2" t="n"/>
      <c r="B36" s="2" t="n"/>
      <c r="C36" s="2" t="n"/>
      <c r="D36" s="2" t="n"/>
      <c r="E36" s="2" t="n"/>
      <c r="F36" s="2" t="n"/>
      <c r="G36" s="2" t="n"/>
      <c r="H36" s="2" t="n"/>
      <c r="J36" s="2" t="n"/>
      <c r="K36" s="2" t="n"/>
      <c r="L36" s="2" t="n"/>
      <c r="M36" s="2" t="n"/>
      <c r="N36" s="2" t="n"/>
      <c r="O36" s="2" t="n"/>
    </row>
    <row r="37" ht="15.75" customHeight="1" s="15">
      <c r="A37" s="2" t="n"/>
      <c r="B37" s="2" t="n"/>
      <c r="C37" s="2" t="n"/>
      <c r="D37" s="2" t="n"/>
      <c r="E37" s="2" t="n"/>
      <c r="F37" s="2" t="n"/>
      <c r="G37" s="2" t="n"/>
      <c r="H37" s="2" t="n"/>
      <c r="J37" s="2" t="n"/>
      <c r="K37" s="2" t="n"/>
      <c r="L37" s="2" t="n"/>
      <c r="M37" s="2" t="n"/>
      <c r="N37" s="2" t="n"/>
      <c r="O37" s="2" t="n"/>
    </row>
    <row r="38" ht="15.75" customHeight="1" s="15">
      <c r="A38" s="2" t="n"/>
      <c r="B38" s="2" t="n"/>
      <c r="C38" s="2" t="n"/>
      <c r="D38" s="2" t="n"/>
      <c r="E38" s="2" t="n"/>
      <c r="F38" s="2" t="n"/>
      <c r="G38" s="2" t="n"/>
      <c r="H38" s="2" t="n"/>
      <c r="J38" s="2" t="n"/>
      <c r="K38" s="2" t="n"/>
      <c r="L38" s="2" t="n"/>
      <c r="M38" s="2" t="n"/>
      <c r="N38" s="2" t="n"/>
      <c r="O38" s="2" t="n"/>
    </row>
    <row r="39" ht="15.75" customHeight="1" s="15">
      <c r="A39" s="2" t="n"/>
      <c r="B39" s="2" t="n"/>
      <c r="C39" s="2" t="n"/>
      <c r="D39" s="2" t="n"/>
      <c r="E39" s="2" t="n"/>
      <c r="F39" s="2" t="n"/>
      <c r="G39" s="2" t="n"/>
      <c r="H39" s="2" t="n"/>
      <c r="J39" s="2" t="n"/>
      <c r="K39" s="2" t="n"/>
      <c r="L39" s="2" t="n"/>
      <c r="M39" s="2" t="n"/>
      <c r="N39" s="2" t="n"/>
      <c r="O39" s="2" t="n"/>
    </row>
    <row r="40" ht="15.75" customHeight="1" s="15">
      <c r="A40" s="2" t="n"/>
      <c r="B40" s="2" t="n"/>
      <c r="C40" s="2" t="n"/>
      <c r="D40" s="2" t="n"/>
      <c r="E40" s="2" t="n"/>
      <c r="F40" s="2" t="n"/>
      <c r="G40" s="2" t="n"/>
      <c r="H40" s="2" t="n"/>
      <c r="J40" s="2" t="n"/>
      <c r="K40" s="2" t="n"/>
      <c r="L40" s="2" t="n"/>
      <c r="M40" s="2" t="n"/>
      <c r="N40" s="2" t="n"/>
      <c r="O40" s="2" t="n"/>
    </row>
    <row r="41" ht="15.75" customHeight="1" s="15">
      <c r="A41" s="2" t="n"/>
      <c r="B41" s="2" t="n"/>
      <c r="C41" s="2" t="n"/>
      <c r="D41" s="2" t="n"/>
      <c r="E41" s="2" t="n"/>
      <c r="F41" s="2" t="n"/>
      <c r="G41" s="2" t="n"/>
      <c r="H41" s="2" t="n"/>
      <c r="J41" s="2" t="n"/>
      <c r="K41" s="2" t="n"/>
      <c r="L41" s="2" t="n"/>
      <c r="M41" s="2" t="n"/>
      <c r="N41" s="2" t="n"/>
      <c r="O41" s="2" t="n"/>
    </row>
    <row r="42" ht="15.75" customHeight="1" s="15">
      <c r="A42" s="2" t="n"/>
      <c r="B42" s="2" t="n"/>
      <c r="C42" s="10" t="inlineStr">
        <is>
          <t>TOTAL HORAS</t>
        </is>
      </c>
      <c r="D42" s="10">
        <f>SUM($D$4:$D$40)</f>
        <v/>
      </c>
      <c r="E42" s="2" t="n"/>
      <c r="F42" s="2" t="n"/>
      <c r="G42" s="2" t="n"/>
      <c r="H42" s="2" t="n"/>
      <c r="J42" s="2" t="n"/>
      <c r="K42" s="2" t="n"/>
      <c r="L42" s="2" t="n"/>
      <c r="M42" s="2" t="n"/>
      <c r="N42" s="2" t="n"/>
      <c r="O42" s="2" t="n"/>
    </row>
    <row r="43" ht="15.75" customHeight="1" s="15">
      <c r="A43" s="2" t="n"/>
      <c r="B43" s="2" t="n"/>
      <c r="C43" s="2" t="n"/>
      <c r="D43" s="2" t="n"/>
      <c r="E43" s="2" t="n"/>
      <c r="F43" s="2" t="n"/>
      <c r="G43" s="2" t="n"/>
      <c r="H43" s="2" t="n"/>
      <c r="J43" s="2" t="n"/>
      <c r="K43" s="2" t="n"/>
      <c r="L43" s="2" t="n"/>
      <c r="M43" s="2" t="n"/>
      <c r="N43" s="2" t="n"/>
      <c r="O43" s="2" t="n"/>
    </row>
    <row r="44" ht="15.75" customHeight="1" s="15">
      <c r="A44" s="2" t="n"/>
      <c r="B44" s="2" t="n"/>
      <c r="C44" s="2" t="n"/>
      <c r="D44" s="2" t="n"/>
      <c r="E44" s="2" t="n"/>
      <c r="F44" s="2" t="n"/>
      <c r="G44" s="2" t="n"/>
      <c r="H44" s="2" t="n"/>
      <c r="J44" s="2" t="n"/>
      <c r="K44" s="2" t="n"/>
      <c r="L44" s="2" t="n"/>
      <c r="M44" s="2" t="n"/>
      <c r="N44" s="2" t="n"/>
      <c r="O44" s="2" t="n"/>
    </row>
    <row r="45" ht="15.75" customHeight="1" s="15">
      <c r="A45" s="2" t="n"/>
      <c r="B45" s="2" t="n"/>
      <c r="C45" s="2" t="n"/>
      <c r="D45" s="2" t="n"/>
      <c r="E45" s="2" t="n"/>
      <c r="F45" s="2" t="n"/>
      <c r="G45" s="2" t="n"/>
      <c r="H45" s="2" t="n"/>
      <c r="J45" s="2" t="n"/>
      <c r="K45" s="2" t="n"/>
      <c r="L45" s="2" t="n"/>
      <c r="M45" s="2" t="n"/>
      <c r="N45" s="2" t="n"/>
      <c r="O45" s="2" t="n"/>
    </row>
    <row r="46" ht="15.75" customHeight="1" s="15">
      <c r="A46" s="2" t="n"/>
      <c r="B46" s="2" t="n"/>
      <c r="C46" s="2" t="n"/>
      <c r="D46" s="2" t="n"/>
      <c r="E46" s="2" t="n"/>
      <c r="F46" s="2" t="n"/>
      <c r="G46" s="2" t="n"/>
      <c r="H46" s="2" t="n"/>
      <c r="J46" s="2" t="n"/>
      <c r="K46" s="2" t="n"/>
      <c r="L46" s="2" t="n"/>
      <c r="M46" s="2" t="n"/>
      <c r="N46" s="2" t="n"/>
      <c r="O46" s="2" t="n"/>
    </row>
    <row r="47" ht="15.75" customHeight="1" s="15">
      <c r="A47" s="2" t="n"/>
      <c r="B47" s="2" t="n"/>
      <c r="C47" s="2" t="n"/>
      <c r="D47" s="2" t="n"/>
      <c r="E47" s="2" t="n"/>
      <c r="F47" s="2" t="n"/>
      <c r="G47" s="2" t="n"/>
      <c r="H47" s="2" t="n"/>
      <c r="J47" s="2" t="n"/>
      <c r="K47" s="2" t="n"/>
      <c r="L47" s="2" t="n"/>
      <c r="M47" s="2" t="n"/>
      <c r="N47" s="2" t="n"/>
      <c r="O47" s="2" t="n"/>
    </row>
    <row r="48" ht="15.75" customHeight="1" s="15">
      <c r="A48" s="2" t="n"/>
      <c r="B48" s="2" t="n"/>
      <c r="C48" s="2" t="n"/>
      <c r="D48" s="2" t="n"/>
      <c r="E48" s="2" t="n"/>
      <c r="F48" s="2" t="n"/>
      <c r="G48" s="2" t="n"/>
      <c r="H48" s="2" t="n"/>
      <c r="J48" s="2" t="n"/>
      <c r="K48" s="2" t="n"/>
      <c r="L48" s="2" t="n"/>
      <c r="M48" s="2" t="n"/>
      <c r="N48" s="2" t="n"/>
      <c r="O48" s="2" t="n"/>
    </row>
    <row r="49" ht="15.75" customHeight="1" s="15">
      <c r="A49" s="2" t="n"/>
      <c r="B49" s="2" t="n"/>
      <c r="C49" s="2" t="n"/>
      <c r="D49" s="2" t="n"/>
      <c r="E49" s="2" t="n"/>
      <c r="F49" s="2" t="n"/>
      <c r="G49" s="2" t="n"/>
      <c r="H49" s="2" t="n"/>
      <c r="J49" s="2" t="n"/>
      <c r="K49" s="2" t="n"/>
      <c r="L49" s="2" t="n"/>
      <c r="M49" s="2" t="n"/>
      <c r="N49" s="2" t="n"/>
      <c r="O49" s="2" t="n"/>
    </row>
    <row r="50" ht="15.75" customHeight="1" s="15">
      <c r="A50" s="2" t="n"/>
      <c r="B50" s="2" t="n"/>
      <c r="C50" s="2" t="n"/>
      <c r="D50" s="2" t="n"/>
      <c r="E50" s="2" t="n"/>
      <c r="F50" s="2" t="n"/>
      <c r="G50" s="2" t="n"/>
      <c r="H50" s="2" t="n"/>
      <c r="J50" s="2" t="n"/>
      <c r="K50" s="2" t="n"/>
      <c r="L50" s="2" t="n"/>
      <c r="M50" s="2" t="n"/>
      <c r="N50" s="2" t="n"/>
      <c r="O50" s="2" t="n"/>
    </row>
    <row r="51" ht="15.75" customHeight="1" s="15">
      <c r="A51" s="2" t="n"/>
      <c r="B51" s="2" t="n"/>
      <c r="C51" s="2" t="n"/>
      <c r="D51" s="2" t="n"/>
      <c r="E51" s="2" t="n"/>
      <c r="F51" s="2" t="n"/>
      <c r="G51" s="2" t="n"/>
      <c r="H51" s="2" t="n"/>
      <c r="J51" s="2" t="n"/>
      <c r="K51" s="2" t="n"/>
      <c r="L51" s="2" t="n"/>
      <c r="M51" s="2" t="n"/>
      <c r="N51" s="2" t="n"/>
      <c r="O51" s="2" t="n"/>
    </row>
    <row r="52" ht="15.75" customHeight="1" s="15">
      <c r="A52" s="2" t="n"/>
      <c r="B52" s="2" t="n"/>
      <c r="C52" s="2" t="n"/>
      <c r="D52" s="2" t="n"/>
      <c r="E52" s="2" t="n"/>
      <c r="F52" s="2" t="n"/>
      <c r="G52" s="2" t="n"/>
      <c r="H52" s="2" t="n"/>
      <c r="J52" s="2" t="n"/>
      <c r="K52" s="2" t="n"/>
      <c r="L52" s="2" t="n"/>
      <c r="M52" s="2" t="n"/>
      <c r="N52" s="2" t="n"/>
      <c r="O52" s="2" t="n"/>
    </row>
    <row r="53" ht="15.75" customHeight="1" s="15">
      <c r="A53" s="2" t="n"/>
      <c r="B53" s="2" t="n"/>
      <c r="C53" s="2" t="n"/>
      <c r="D53" s="2" t="n"/>
      <c r="E53" s="2" t="n"/>
      <c r="F53" s="2" t="n"/>
      <c r="G53" s="2" t="n"/>
      <c r="H53" s="2" t="n"/>
      <c r="J53" s="2" t="n"/>
      <c r="K53" s="2" t="n"/>
      <c r="L53" s="2" t="n"/>
      <c r="M53" s="2" t="n"/>
      <c r="N53" s="2" t="n"/>
      <c r="O53" s="2" t="n"/>
    </row>
    <row r="54" ht="15.75" customHeight="1" s="15">
      <c r="A54" s="2" t="n"/>
      <c r="B54" s="2" t="n"/>
      <c r="C54" s="2" t="n"/>
      <c r="D54" s="2" t="n"/>
      <c r="E54" s="2" t="n"/>
      <c r="F54" s="2" t="n"/>
      <c r="G54" s="2" t="n"/>
      <c r="H54" s="2" t="n"/>
      <c r="J54" s="2" t="n"/>
      <c r="K54" s="2" t="n"/>
      <c r="L54" s="2" t="n"/>
      <c r="M54" s="2" t="n"/>
      <c r="N54" s="2" t="n"/>
      <c r="O54" s="2" t="n"/>
    </row>
    <row r="55" ht="15.75" customHeight="1" s="15">
      <c r="A55" s="2" t="n"/>
      <c r="B55" s="2" t="n"/>
      <c r="C55" s="2" t="n"/>
      <c r="D55" s="2" t="n"/>
      <c r="E55" s="2" t="n"/>
      <c r="F55" s="2" t="n"/>
      <c r="G55" s="2" t="n"/>
      <c r="H55" s="2" t="n"/>
      <c r="J55" s="2" t="n"/>
      <c r="K55" s="2" t="n"/>
      <c r="L55" s="2" t="n"/>
      <c r="M55" s="2" t="n"/>
      <c r="N55" s="2" t="n"/>
      <c r="O55" s="2" t="n"/>
    </row>
    <row r="56" ht="15.75" customHeight="1" s="15">
      <c r="A56" s="2" t="n"/>
      <c r="B56" s="2" t="n"/>
      <c r="C56" s="2" t="n"/>
      <c r="D56" s="2" t="n"/>
      <c r="E56" s="2" t="n"/>
      <c r="F56" s="2" t="n"/>
      <c r="G56" s="2" t="n"/>
      <c r="H56" s="2" t="n"/>
      <c r="J56" s="2" t="n"/>
      <c r="K56" s="2" t="n"/>
      <c r="L56" s="2" t="n"/>
      <c r="M56" s="2" t="n"/>
      <c r="N56" s="2" t="n"/>
      <c r="O56" s="2" t="n"/>
    </row>
    <row r="57" ht="15.75" customHeight="1" s="15">
      <c r="A57" s="2" t="n"/>
      <c r="B57" s="2" t="n"/>
      <c r="C57" s="2" t="n"/>
      <c r="D57" s="2" t="n"/>
      <c r="E57" s="2" t="n"/>
      <c r="F57" s="2" t="n"/>
      <c r="G57" s="2" t="n"/>
      <c r="H57" s="2" t="n"/>
      <c r="J57" s="2" t="n"/>
      <c r="K57" s="2" t="n"/>
      <c r="L57" s="2" t="n"/>
      <c r="M57" s="2" t="n"/>
      <c r="N57" s="2" t="n"/>
      <c r="O57" s="2" t="n"/>
    </row>
    <row r="58" ht="15.75" customHeight="1" s="15">
      <c r="A58" s="2" t="n"/>
      <c r="B58" s="2" t="n"/>
      <c r="C58" s="2" t="n"/>
      <c r="D58" s="2" t="n"/>
      <c r="E58" s="2" t="n"/>
      <c r="F58" s="2" t="n"/>
      <c r="G58" s="2" t="n"/>
      <c r="H58" s="2" t="n"/>
      <c r="J58" s="2" t="n"/>
      <c r="K58" s="2" t="n"/>
      <c r="L58" s="2" t="n"/>
      <c r="M58" s="2" t="n"/>
      <c r="N58" s="2" t="n"/>
      <c r="O58" s="2" t="n"/>
    </row>
    <row r="59" ht="15.75" customHeight="1" s="15">
      <c r="A59" s="2" t="n"/>
      <c r="B59" s="2" t="n"/>
      <c r="C59" s="2" t="n"/>
      <c r="D59" s="2" t="n"/>
      <c r="E59" s="2" t="n"/>
      <c r="F59" s="2" t="n"/>
      <c r="G59" s="2" t="n"/>
      <c r="H59" s="2" t="n"/>
      <c r="J59" s="2" t="n"/>
      <c r="K59" s="2" t="n"/>
      <c r="L59" s="2" t="n"/>
      <c r="M59" s="2" t="n"/>
      <c r="N59" s="2" t="n"/>
      <c r="O59" s="2" t="n"/>
    </row>
    <row r="60" ht="15.75" customHeight="1" s="15">
      <c r="A60" s="2" t="n"/>
      <c r="B60" s="2" t="n"/>
      <c r="C60" s="2" t="n"/>
      <c r="D60" s="2" t="n"/>
      <c r="E60" s="2" t="n"/>
      <c r="F60" s="2" t="n"/>
      <c r="G60" s="2" t="n"/>
      <c r="H60" s="2" t="n"/>
      <c r="J60" s="2" t="n"/>
      <c r="K60" s="2" t="n"/>
      <c r="L60" s="2" t="n"/>
      <c r="M60" s="2" t="n"/>
      <c r="N60" s="2" t="n"/>
      <c r="O60" s="2" t="n"/>
    </row>
    <row r="61" ht="15.75" customHeight="1" s="15">
      <c r="A61" s="2" t="n"/>
      <c r="B61" s="2" t="n"/>
      <c r="C61" s="2" t="n"/>
      <c r="D61" s="2" t="n"/>
      <c r="E61" s="2" t="n"/>
      <c r="F61" s="2" t="n"/>
      <c r="G61" s="2" t="n"/>
      <c r="H61" s="2" t="n"/>
      <c r="J61" s="2" t="n"/>
      <c r="K61" s="2" t="n"/>
      <c r="L61" s="2" t="n"/>
      <c r="M61" s="2" t="n"/>
      <c r="N61" s="2" t="n"/>
      <c r="O61" s="2" t="n"/>
    </row>
    <row r="62" ht="15.75" customHeight="1" s="15">
      <c r="A62" s="2" t="n"/>
      <c r="B62" s="2" t="n"/>
      <c r="C62" s="2" t="n"/>
      <c r="D62" s="2" t="n"/>
      <c r="E62" s="2" t="n"/>
      <c r="F62" s="2" t="n"/>
      <c r="G62" s="2" t="n"/>
      <c r="H62" s="2" t="n"/>
      <c r="J62" s="2" t="n"/>
      <c r="K62" s="2" t="n"/>
      <c r="L62" s="2" t="n"/>
      <c r="M62" s="2" t="n"/>
      <c r="N62" s="2" t="n"/>
      <c r="O62" s="2" t="n"/>
    </row>
    <row r="63" ht="15.75" customHeight="1" s="15">
      <c r="A63" s="2" t="n"/>
      <c r="B63" s="2" t="n"/>
      <c r="C63" s="2" t="n"/>
      <c r="D63" s="2" t="n"/>
      <c r="E63" s="2" t="n"/>
      <c r="F63" s="2" t="n"/>
      <c r="G63" s="2" t="n"/>
      <c r="H63" s="2" t="n"/>
      <c r="J63" s="2" t="n"/>
      <c r="K63" s="2" t="n"/>
      <c r="L63" s="2" t="n"/>
      <c r="M63" s="2" t="n"/>
      <c r="N63" s="2" t="n"/>
      <c r="O63" s="2" t="n"/>
    </row>
    <row r="64" ht="15.75" customHeight="1" s="15">
      <c r="A64" s="2" t="n"/>
      <c r="B64" s="2" t="n"/>
      <c r="C64" s="2" t="n"/>
      <c r="D64" s="2" t="n"/>
      <c r="E64" s="2" t="n"/>
      <c r="F64" s="2" t="n"/>
      <c r="G64" s="2" t="n"/>
      <c r="H64" s="2" t="n"/>
      <c r="J64" s="2" t="n"/>
      <c r="K64" s="2" t="n"/>
      <c r="L64" s="2" t="n"/>
      <c r="M64" s="2" t="n"/>
      <c r="N64" s="2" t="n"/>
      <c r="O64" s="2" t="n"/>
    </row>
    <row r="65" ht="15.75" customHeight="1" s="15">
      <c r="A65" s="2" t="n"/>
      <c r="B65" s="2" t="n"/>
      <c r="C65" s="2" t="n"/>
      <c r="D65" s="2" t="n"/>
      <c r="E65" s="2" t="n"/>
      <c r="F65" s="2" t="n"/>
      <c r="G65" s="2" t="n"/>
      <c r="H65" s="2" t="n"/>
      <c r="J65" s="2" t="n"/>
      <c r="K65" s="2" t="n"/>
      <c r="L65" s="2" t="n"/>
      <c r="M65" s="2" t="n"/>
      <c r="N65" s="2" t="n"/>
      <c r="O65" s="2" t="n"/>
    </row>
    <row r="66" ht="15.75" customHeight="1" s="15">
      <c r="A66" s="2" t="n"/>
      <c r="B66" s="2" t="n"/>
      <c r="C66" s="2" t="n"/>
      <c r="D66" s="2" t="n"/>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15.75" customHeight="1" s="15">
      <c r="A68" s="2" t="n"/>
      <c r="B68" s="2" t="n"/>
      <c r="C68" s="2" t="n"/>
      <c r="D68" s="2" t="n"/>
      <c r="E68" s="2" t="n"/>
      <c r="F68" s="2" t="n"/>
      <c r="G68" s="2" t="n"/>
      <c r="H68" s="2" t="n"/>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2">
    <mergeCell ref="A2:H2"/>
    <mergeCell ref="A1:H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septiembre 2026</t>
        </is>
      </c>
      <c r="K3" s="2" t="n"/>
      <c r="L3" s="2" t="n"/>
      <c r="M3" s="2" t="n"/>
      <c r="N3" s="2" t="n"/>
      <c r="O3" s="2" t="n"/>
    </row>
    <row r="4">
      <c r="A4" s="6" t="n">
        <v>46268</v>
      </c>
      <c r="B4" s="11" t="inlineStr">
        <is>
          <t>AN</t>
        </is>
      </c>
      <c r="C4" s="11" t="inlineStr">
        <is>
          <t>AN-2</t>
        </is>
      </c>
      <c r="D4" s="11" t="n">
        <v>4</v>
      </c>
      <c r="E4" s="11" t="inlineStr">
        <is>
          <t>IAM AeriaOne, analisis: lectura de los dos documentos de ciberseguridad (arquitectura de 16 secciones con requisitos IAM-01..20, y catalogo de 68 workflows), reparto de responsabilidad (47 tocan al APK o a la bodycam) y plan por fases con estimacion</t>
        </is>
      </c>
      <c r="F4" s="11" t="n"/>
      <c r="G4" s="11" t="inlineStr">
        <is>
          <t>No</t>
        </is>
      </c>
      <c r="H4" s="11" t="inlineStr">
        <is>
          <t>ESTIMADO - CONFIRMAR</t>
        </is>
      </c>
      <c r="J4" s="4" t="inlineStr">
        <is>
          <t>Aplicación</t>
        </is>
      </c>
      <c r="K4" s="4" t="inlineStr">
        <is>
          <t>Bloques</t>
        </is>
      </c>
      <c r="L4" s="4" t="inlineStr">
        <is>
          <t>Días activ.</t>
        </is>
      </c>
      <c r="M4" s="4" t="inlineStr">
        <is>
          <t>Líneas código</t>
        </is>
      </c>
      <c r="N4" s="4" t="inlineStr">
        <is>
          <t>Horas</t>
        </is>
      </c>
      <c r="O4" s="4" t="inlineStr">
        <is>
          <t>Importe</t>
        </is>
      </c>
    </row>
    <row r="5">
      <c r="A5" s="6" t="n">
        <v>46269</v>
      </c>
      <c r="B5" s="11" t="inlineStr">
        <is>
          <t>AN</t>
        </is>
      </c>
      <c r="C5" s="11" t="inlineStr">
        <is>
          <t>AN-2</t>
        </is>
      </c>
      <c r="D5" s="11" t="n">
        <v>1.5</v>
      </c>
      <c r="E5" s="11" t="inlineStr">
        <is>
          <t>Maquina de estados de confianza y pantalla de bloqueo: siete estados de arranque, TrustGate por delante de la navegacion, PIN de 6 digitos con limite de intentos y bloqueo escalonado. Verificado en el Redmi</t>
        </is>
      </c>
      <c r="F5" s="11" t="inlineStr">
        <is>
          <t>f52a7b4</t>
        </is>
      </c>
      <c r="G5" s="11" t="inlineStr">
        <is>
          <t>No</t>
        </is>
      </c>
      <c r="H5" s="11" t="inlineStr">
        <is>
          <t>reloj de sesion 10:25-12:31</t>
        </is>
      </c>
      <c r="J5" s="13" t="inlineStr">
        <is>
          <t>BodyCamServer</t>
        </is>
      </c>
      <c r="K5" s="11" t="inlineStr">
        <is>
          <t>BC-7, BC-8, BC-9, BC-10, BC-11, BC-12, BC-13, BC-14</t>
        </is>
      </c>
      <c r="L5" s="13">
        <f>SUMPRODUCT(($B$4:$B$65="BC")/COUNTIFS($A$4:$A$65,$A$4:$A$65&amp;"",$B$4:$B$65,$B$4:$B$65&amp;""))</f>
        <v/>
      </c>
      <c r="M5" s="13" t="n">
        <v>5466</v>
      </c>
      <c r="N5" s="13">
        <f>SUMIFS($D$4:$D$65,$B$4:$B$65,"BC",$G$4:$G$65,"&lt;&gt;Sí")</f>
        <v/>
      </c>
      <c r="O5" s="9">
        <f>N5*$K$9</f>
        <v/>
      </c>
    </row>
    <row r="6">
      <c r="A6" s="6" t="n">
        <v>46269</v>
      </c>
      <c r="B6" s="11" t="inlineStr">
        <is>
          <t>AN</t>
        </is>
      </c>
      <c r="C6" s="11" t="inlineStr">
        <is>
          <t>AN-2</t>
        </is>
      </c>
      <c r="D6" s="11" t="n">
        <v>0.5</v>
      </c>
      <c r="E6" s="11" t="inlineStr">
        <is>
          <t>Workflow 12, alta del telefono: par EC P-256 dentro del TEE con cadena de atestacion, PKCS#10 escrito a mano (sin BouncyCastle, ~130 lineas), CSR validado con openssl y prueba de posesion. 7 pruebas JVM. Verificado en el Redmi</t>
        </is>
      </c>
      <c r="F6" s="11" t="inlineStr">
        <is>
          <t>57081f9</t>
        </is>
      </c>
      <c r="G6" s="11" t="inlineStr">
        <is>
          <t>No</t>
        </is>
      </c>
      <c r="H6" s="11" t="inlineStr">
        <is>
          <t>reloj de sesion 10:25-12:31</t>
        </is>
      </c>
      <c r="J6" s="13" t="inlineStr">
        <is>
          <t>AeriaNexusPrototype</t>
        </is>
      </c>
      <c r="K6" s="11" t="inlineStr">
        <is>
          <t>AN-2, AN-3, AN-4, AN-5, AN-6, AN-7, AN-8, AN-9, AN-10, AN-11, AN-12</t>
        </is>
      </c>
      <c r="L6" s="13">
        <f>SUMPRODUCT(($B$4:$B$65="AN")/COUNTIFS($A$4:$A$65,$A$4:$A$65&amp;"",$B$4:$B$65,$B$4:$B$65&amp;""))</f>
        <v/>
      </c>
      <c r="M6" s="13" t="n">
        <v>19554</v>
      </c>
      <c r="N6" s="13">
        <f>SUMIFS($D$4:$D$65,$B$4:$B$65,"AN",$G$4:$G$65,"&lt;&gt;Sí")</f>
        <v/>
      </c>
      <c r="O6" s="9">
        <f>N6*$K$9</f>
        <v/>
      </c>
    </row>
    <row r="7">
      <c r="A7" s="6" t="n">
        <v>46271</v>
      </c>
      <c r="B7" s="11" t="inlineStr">
        <is>
          <t>AN</t>
        </is>
      </c>
      <c r="C7" s="11" t="inlineStr">
        <is>
          <t>AN-2</t>
        </is>
      </c>
      <c r="D7" s="11" t="n">
        <v>1</v>
      </c>
      <c r="E7" s="11" t="inlineStr">
        <is>
          <t>Seguimiento propio de los 68 workflows: libro de 10 hojas cruzando el catalogo de ciberseguridad con el repositorio, con los 162 pasos de sus hojas de detalle marcados uno a uno</t>
        </is>
      </c>
      <c r="F7" s="11" t="n"/>
      <c r="G7" s="11" t="inlineStr">
        <is>
          <t>No</t>
        </is>
      </c>
      <c r="H7" s="11" t="inlineStr">
        <is>
          <t>reloj de sesion 16:19-20:42 (total medido; reparto por tarea estimado)</t>
        </is>
      </c>
      <c r="J7" s="13" t="inlineStr">
        <is>
          <t>aeria-nexus (backend)</t>
        </is>
      </c>
      <c r="K7" s="11" t="inlineStr">
        <is>
          <t>NX-1, NX-2, NX-3, NX-4</t>
        </is>
      </c>
      <c r="L7" s="13">
        <f>SUMPRODUCT(($B$4:$B$65="NX")/COUNTIFS($A$4:$A$65,$A$4:$A$65&amp;"",$B$4:$B$65,$B$4:$B$65&amp;""))</f>
        <v/>
      </c>
      <c r="M7" s="13" t="n">
        <v>11308</v>
      </c>
      <c r="N7" s="13">
        <f>SUMIFS($D$4:$D$65,$B$4:$B$65,"NX",$G$4:$G$65,"&lt;&gt;Sí")</f>
        <v/>
      </c>
      <c r="O7" s="9">
        <f>N7*$K$9</f>
        <v/>
      </c>
    </row>
    <row r="8">
      <c r="A8" s="6" t="n">
        <v>46271</v>
      </c>
      <c r="B8" s="11" t="inlineStr">
        <is>
          <t>AN</t>
        </is>
      </c>
      <c r="C8" s="11" t="inlineStr">
        <is>
          <t>AN-2</t>
        </is>
      </c>
      <c r="D8" s="11" t="n">
        <v>1</v>
      </c>
      <c r="E8" s="11" t="inlineStr">
        <is>
          <t>Workflow 3, certificado del agente: segundo par de claves con alias propio (separado del telefono, regla de no equivalencia), CSR contrafirmado por el terminal y CA de usuario separada de la de dispositivos. 5 pruebas JVM. Verificado en el Redmi</t>
        </is>
      </c>
      <c r="F8" s="11" t="n"/>
      <c r="G8" s="11" t="inlineStr">
        <is>
          <t>No</t>
        </is>
      </c>
      <c r="H8" s="11" t="inlineStr">
        <is>
          <t>reloj de sesion 16:19-20:42 (total medido; reparto por tarea estimado)</t>
        </is>
      </c>
      <c r="J8" s="10" t="inlineStr">
        <is>
          <t>TOTAL DEL MES</t>
        </is>
      </c>
      <c r="K8" s="13">
        <f>SUMPRODUCT(($C$4:$C$65&lt;&gt;"")/COUNTIF($C$4:$C$65,$C$4:$C$65&amp;""))</f>
        <v/>
      </c>
      <c r="L8" s="13">
        <f>SUMPRODUCT(($A$4:$A$65&lt;&gt;"")/COUNTIF($A$4:$A$65,$A$4:$A$65&amp;""))</f>
        <v/>
      </c>
      <c r="M8" s="10">
        <f>SUM(M5:M7)</f>
        <v/>
      </c>
      <c r="N8" s="10">
        <f>SUM(N5:N7)</f>
        <v/>
      </c>
      <c r="O8" s="12">
        <f>SUM(O5:O7)</f>
        <v/>
      </c>
    </row>
    <row r="9">
      <c r="A9" s="6" t="n">
        <v>46271</v>
      </c>
      <c r="B9" s="11" t="inlineStr">
        <is>
          <t>AN</t>
        </is>
      </c>
      <c r="C9" s="11" t="inlineStr">
        <is>
          <t>AN-2</t>
        </is>
      </c>
      <c r="D9" s="11" t="n">
        <v>1</v>
      </c>
      <c r="E9" s="11" t="inlineStr">
        <is>
          <t>Workflow 4, PIN real: verificador PBKDF2-HMAC-SHA256 + AES-GCM sellado con clave de Keystore propia, contador de intentos fuera de SharedPreferences, e iteraciones CALIBRADAS midiendo el terminal (de 2.703 ms a 843 ms por desbloqueo). 4 pruebas JVM. Verificado en el Redmi</t>
        </is>
      </c>
      <c r="F9" s="11" t="n"/>
      <c r="G9" s="11" t="inlineStr">
        <is>
          <t>No</t>
        </is>
      </c>
      <c r="H9" s="11" t="inlineStr">
        <is>
          <t>reloj de sesion 16:19-20:42 (total medido; reparto por tarea estimado)</t>
        </is>
      </c>
      <c r="J9" s="10" t="inlineStr">
        <is>
          <t>Tarifa (€/h)</t>
        </is>
      </c>
      <c r="K9" s="13" t="n">
        <v>20</v>
      </c>
      <c r="L9" s="2" t="n"/>
      <c r="M9" s="2" t="n"/>
      <c r="N9" s="2" t="n"/>
      <c r="O9" s="2" t="n"/>
    </row>
    <row r="10">
      <c r="A10" s="6" t="n">
        <v>46271</v>
      </c>
      <c r="B10" s="11" t="inlineStr">
        <is>
          <t>AN</t>
        </is>
      </c>
      <c r="C10" s="11" t="inlineStr">
        <is>
          <t>AN-2</t>
        </is>
      </c>
      <c r="D10" s="11" t="n">
        <v>1</v>
      </c>
      <c r="E10" s="11" t="inlineStr">
        <is>
          <t>Servicio de retos y workflow 27: nonce emitido de fuera, de un solo uso y con caducidad, en los cinco puntos que firman; el PIN autoriza la clave del agente y esa clave firma el reto del servidor. Verificado en el Redmi, con reintento de respuesta rechazado</t>
        </is>
      </c>
      <c r="F10" s="11" t="n"/>
      <c r="G10" s="11" t="inlineStr">
        <is>
          <t>No</t>
        </is>
      </c>
      <c r="H10" s="11" t="inlineStr">
        <is>
          <t>reloj de sesion 16:19-20:42 (total medido; reparto por tarea estimado)</t>
        </is>
      </c>
      <c r="J10" s="2" t="n"/>
      <c r="K10" s="2" t="n"/>
      <c r="L10" s="2" t="n"/>
      <c r="M10" s="2" t="n"/>
      <c r="N10" s="2" t="n"/>
      <c r="O10" s="2" t="n"/>
    </row>
    <row r="11">
      <c r="A11" s="6" t="n">
        <v>46271</v>
      </c>
      <c r="B11" s="11" t="inlineStr">
        <is>
          <t>AN</t>
        </is>
      </c>
      <c r="C11" s="11" t="inlineStr">
        <is>
          <t>AN-3</t>
        </is>
      </c>
      <c r="D11" s="11" t="n">
        <v>1</v>
      </c>
      <c r="E11" s="11" t="inlineStr">
        <is>
          <t>Workflow 31 (lado telefono): emparejamiento autenticado mutuo con la bodycam sobre el canal RFCOMM, e indicador de enlace de confianza en la barra superior. 6 pruebas JVM con cuatro ataques. Verificado contra la W1</t>
        </is>
      </c>
      <c r="F11" s="11" t="n"/>
      <c r="G11" s="11" t="inlineStr">
        <is>
          <t>No</t>
        </is>
      </c>
      <c r="H11" s="11" t="inlineStr">
        <is>
          <t>reloj de sesion 16:19-20:42 (total medido; reparto por tarea estimado)</t>
        </is>
      </c>
      <c r="J11" s="2" t="n"/>
      <c r="K11" s="2" t="n"/>
      <c r="L11" s="2" t="n"/>
      <c r="M11" s="2" t="n"/>
      <c r="N11" s="2" t="n"/>
      <c r="O11" s="2" t="n"/>
    </row>
    <row r="12">
      <c r="A12" s="6" t="n">
        <v>46271</v>
      </c>
      <c r="B12" s="11" t="inlineStr">
        <is>
          <t>BC</t>
        </is>
      </c>
      <c r="C12" s="11" t="inlineStr">
        <is>
          <t>BC-7</t>
        </is>
      </c>
      <c r="D12" s="11" t="n">
        <v>1</v>
      </c>
      <c r="E12" s="11" t="inlineStr">
        <is>
          <t>Workflows 13 y 31 (lado bodycam): identidad EC propia de la W1 en su Keystore, CSR y certificado emitido por la misma CA de dispositivos que los telefonos, y su mitad del emparejamiento. Verificado en la W1</t>
        </is>
      </c>
      <c r="F12" s="11" t="n"/>
      <c r="G12" s="11" t="inlineStr">
        <is>
          <t>No</t>
        </is>
      </c>
      <c r="H12" s="11" t="inlineStr">
        <is>
          <t>reloj de sesion 16:19-20:42 (total medido; reparto por tarea estimado)</t>
        </is>
      </c>
      <c r="J12" s="2" t="n"/>
      <c r="K12" s="2" t="n"/>
      <c r="L12" s="2" t="n"/>
      <c r="M12" s="2" t="n"/>
      <c r="N12" s="2" t="n"/>
      <c r="O12" s="2" t="n"/>
    </row>
    <row r="13">
      <c r="A13" s="6" t="n">
        <v>46271</v>
      </c>
      <c r="B13" s="11" t="inlineStr">
        <is>
          <t>AN</t>
        </is>
      </c>
      <c r="C13" s="11" t="inlineStr">
        <is>
          <t>AN-3</t>
        </is>
      </c>
      <c r="D13" s="11" t="n">
        <v>0.5</v>
      </c>
      <c r="E13" s="11" t="inlineStr">
        <is>
          <t>Workflows 33 y 34 (lado telefono): atadura agente-camara firmada con la clave del agente, con caducidad y deshecha al cerrar sesion. ESCRITO Y COMPILA, SIN VERIFICAR EN DISPOSITIVO</t>
        </is>
      </c>
      <c r="F13" s="11" t="n"/>
      <c r="G13" s="11" t="inlineStr">
        <is>
          <t>No</t>
        </is>
      </c>
      <c r="H13" s="11" t="inlineStr">
        <is>
          <t>reloj de sesion 16:19-20:42 (total medido; reparto por tarea estimado)</t>
        </is>
      </c>
      <c r="J13" s="2" t="n"/>
      <c r="K13" s="2" t="n"/>
      <c r="L13" s="2" t="n"/>
      <c r="M13" s="2" t="n"/>
      <c r="N13" s="2" t="n"/>
      <c r="O13" s="2" t="n"/>
    </row>
    <row r="14">
      <c r="A14" s="6" t="n">
        <v>46271</v>
      </c>
      <c r="B14" s="11" t="inlineStr">
        <is>
          <t>BC</t>
        </is>
      </c>
      <c r="C14" s="11" t="inlineStr">
        <is>
          <t>BC-7</t>
        </is>
      </c>
      <c r="D14" s="11" t="n">
        <v>0.5</v>
      </c>
      <c r="E14" s="11" t="inlineStr">
        <is>
          <t>Workflows 33 y 34 (lado bodycam): validacion de la atadura contra la CA de usuario, atada al nonce de la sesion de emparejamiento. ESCRITO Y COMPILA, SIN VERIFICAR EN DISPOSITIVO</t>
        </is>
      </c>
      <c r="F14" s="11" t="n"/>
      <c r="G14" s="11" t="inlineStr">
        <is>
          <t>No</t>
        </is>
      </c>
      <c r="H14" s="11" t="inlineStr">
        <is>
          <t>reloj de sesion 16:19-20:42 (total medido; reparto por tarea estimado)</t>
        </is>
      </c>
      <c r="J14" s="2" t="n"/>
      <c r="K14" s="2" t="n"/>
      <c r="L14" s="2" t="n"/>
      <c r="M14" s="2" t="n"/>
      <c r="N14" s="2" t="n"/>
      <c r="O14" s="2" t="n"/>
    </row>
    <row r="15">
      <c r="A15" s="6" t="n">
        <v>46272</v>
      </c>
      <c r="B15" s="11" t="inlineStr">
        <is>
          <t>AN</t>
        </is>
      </c>
      <c r="C15" s="11" t="inlineStr">
        <is>
          <t>AN-5</t>
        </is>
      </c>
      <c r="D15" s="11" t="n">
        <v>3</v>
      </c>
      <c r="E15" s="11" t="inlineStr">
        <is>
          <t>Gafas BleeqUp: integracion del enlace y analisis de lo que se puede hacer con ellas. Enlace BT observado de verdad (GafasRepository, indicador en AppScaffold) en vez de fabricado. Y la respuesta a las dos preguntas del cliente, desmontando la app oficial: funcionalidades internas NO (sin SDK, firmware OTA firmado por el fabricante); cifrado solo en el telefono, porque su app descarga el video a la galeria publica y apoyarse en ella seria cifrar una copia dejando el original en claro. Informe entregado con los tres caminos posibles y cuatro decisiones de negocio</t>
        </is>
      </c>
      <c r="F15" s="11" t="inlineStr">
        <is>
          <t>8b7111d</t>
        </is>
      </c>
      <c r="G15" s="11" t="inlineStr">
        <is>
          <t>No</t>
        </is>
      </c>
      <c r="H15" s="11" t="inlineStr">
        <is>
          <t>indicado por el usuario; marcas de fichero 21:05-23:02</t>
        </is>
      </c>
      <c r="J15" s="2" t="n"/>
      <c r="K15" s="2" t="n"/>
      <c r="L15" s="2" t="n"/>
      <c r="M15" s="2" t="n"/>
      <c r="N15" s="2" t="n"/>
      <c r="O15" s="2" t="n"/>
    </row>
    <row r="16">
      <c r="A16" s="6" t="n">
        <v>46273</v>
      </c>
      <c r="B16" s="11" t="inlineStr">
        <is>
          <t>BC</t>
        </is>
      </c>
      <c r="C16" s="11" t="inlineStr">
        <is>
          <t>BC-8</t>
        </is>
      </c>
      <c r="D16" s="11" t="n">
        <v>3</v>
      </c>
      <c r="E16" s="11" t="inlineStr">
        <is>
          <t>PTT por Agora en la bodycam. Boton F2 medido por logcat: el broadcast solo llega al SOLTAR, el firmware inyecta BACK al segundo de mantenerlo y auto-repite con la Activity en foco, asi que el PTT es conmutador y no mantener-para-hablar. Una sola puerta en BtServerService, sesion solo-audio que no toca la camara ni dispara SOS, cesion del microfono al anillo (conflicto de captura medido: warning 1033 / error 1165) y watchdog para que nunca diga ON transmitiendo silencio. Contrato nuevo con el movil: BTN_PTT_ON/BTN_PTT_OFF y campo ptt en STATUS. Validado en la unidad</t>
        </is>
      </c>
      <c r="F16" s="11" t="inlineStr">
        <is>
          <t>sin commitear</t>
        </is>
      </c>
      <c r="G16" s="11" t="inlineStr">
        <is>
          <t>No</t>
        </is>
      </c>
      <c r="H16" s="11" t="inlineStr">
        <is>
          <t>marcas de fichero 12:33-16:39 (total medido; reparto por app estimado)</t>
        </is>
      </c>
      <c r="J16" s="2" t="n"/>
      <c r="K16" s="2" t="n"/>
      <c r="L16" s="2" t="n"/>
      <c r="M16" s="2" t="n"/>
      <c r="N16" s="2" t="n"/>
      <c r="O16" s="2" t="n"/>
    </row>
    <row r="17">
      <c r="A17" s="6" t="n">
        <v>46273</v>
      </c>
      <c r="B17" s="11" t="inlineStr">
        <is>
          <t>AN</t>
        </is>
      </c>
      <c r="C17" s="11" t="inlineStr">
        <is>
          <t>AN-4</t>
        </is>
      </c>
      <c r="D17" s="11" t="n">
        <v>1.5</v>
      </c>
      <c r="E17" s="11" t="inlineStr">
        <is>
          <t>Recepcion del PTT en el telefono: excepcion de escucha al uid 9001 (con autoSubscribeAudio=false la bodycam publicaba y no la oia nadie), estado por onRemoteAudioStateChanged tratando FROZEN como voz viva, y banda de aviso PttAvisoOverlay por encima de la navegacion y por debajo del SOS. Verificado con la W1 y el Redmi a la vez, sin SOS fantasma</t>
        </is>
      </c>
      <c r="F17" s="11" t="inlineStr">
        <is>
          <t>sin commitear</t>
        </is>
      </c>
      <c r="G17" s="11" t="inlineStr">
        <is>
          <t>No</t>
        </is>
      </c>
      <c r="H17" s="11" t="inlineStr">
        <is>
          <t>marcas de fichero 12:33-16:53 (total medido; reparto por app estimado)</t>
        </is>
      </c>
      <c r="J17" s="2" t="n"/>
      <c r="K17" s="2" t="n"/>
      <c r="L17" s="2" t="n"/>
      <c r="M17" s="2" t="n"/>
      <c r="N17" s="2" t="n"/>
      <c r="O17" s="2" t="n"/>
    </row>
    <row r="18">
      <c r="A18" s="6" t="n">
        <v>46273</v>
      </c>
      <c r="B18" s="11" t="inlineStr">
        <is>
          <t>AN</t>
        </is>
      </c>
      <c r="C18" s="11" t="inlineStr">
        <is>
          <t>AN-4</t>
        </is>
      </c>
      <c r="D18" s="11" t="n">
        <v>0.5</v>
      </c>
      <c r="E18" s="11" t="inlineStr">
        <is>
          <t>PTT propio del telefono: boton mantener-para-hablar en Operations (estaba comentado como decorativo), publicacion del microfono en caliente y anuncio ptt_on/ptt_off por el data stream, sin el cual la voz sale y no la oye nadie porque el uid del telefono es aleatorio. Compila; sin probar en aparatos</t>
        </is>
      </c>
      <c r="F18" s="11" t="inlineStr">
        <is>
          <t>sin commitear</t>
        </is>
      </c>
      <c r="G18" s="11" t="inlineStr">
        <is>
          <t>No</t>
        </is>
      </c>
      <c r="H18" s="11" t="inlineStr">
        <is>
          <t>marcas de fichero 17:40-18:10</t>
        </is>
      </c>
      <c r="J18" s="2" t="n"/>
      <c r="K18" s="2" t="n"/>
      <c r="L18" s="2" t="n"/>
      <c r="M18" s="2" t="n"/>
      <c r="N18" s="2" t="n"/>
      <c r="O18" s="2" t="n"/>
    </row>
    <row r="19">
      <c r="A19" s="6" t="n">
        <v>46274</v>
      </c>
      <c r="B19" s="11" t="inlineStr">
        <is>
          <t>BC</t>
        </is>
      </c>
      <c r="C19" s="11" t="inlineStr">
        <is>
          <t>BC-8</t>
        </is>
      </c>
      <c r="D19" s="11" t="n">
        <v>1.5</v>
      </c>
      <c r="E19" s="11" t="inlineStr">
        <is>
          <t>Senal sonora del PTT en la unidad: cinco tonos sintetizados en PCM con AudioTrack (subida al abrir, bajada al cerrar, zumbido si no se abre, y dos de recepcion), sonando en los seis puntos donde el PTT cambia de estado de verdad. Incluye el fallo por captura no confirmada del 8-sep, en el que el agente hablaba creyendo que le oian. Compila; sin oirse en la unidad</t>
        </is>
      </c>
      <c r="F19" s="11" t="inlineStr">
        <is>
          <t>c000b50</t>
        </is>
      </c>
      <c r="G19" s="11" t="inlineStr">
        <is>
          <t>No</t>
        </is>
      </c>
      <c r="H19" s="11" t="inlineStr">
        <is>
          <t>marcas de fichero 08:41-12:21 (total medido; reparto por tarea estimado)</t>
        </is>
      </c>
      <c r="J19" s="2" t="n"/>
      <c r="K19" s="2" t="n"/>
      <c r="L19" s="2" t="n"/>
      <c r="M19" s="2" t="n"/>
      <c r="N19" s="2" t="n"/>
      <c r="O19" s="2" t="n"/>
    </row>
    <row r="20">
      <c r="A20" s="6" t="n">
        <v>46274</v>
      </c>
      <c r="B20" s="11" t="inlineStr">
        <is>
          <t>AN</t>
        </is>
      </c>
      <c r="C20" s="11" t="inlineStr">
        <is>
          <t>AN-4</t>
        </is>
      </c>
      <c r="D20" s="11" t="n">
        <v>1</v>
      </c>
      <c r="E20" s="11" t="inlineStr">
        <is>
          <t>Los mismos cinco tonos en el telefono (PttTones vive duplicado, como EvidenceCrypto) y los de recepcion cableados al PTT de un companero y al de la bodycam. Dos reglas que fijan el diseno: dos notas son tuyas y una nota es de otro, y el tono suena en el FLANCO y no en cada aviso de Agora. Compila; sin probar en aparatos</t>
        </is>
      </c>
      <c r="F20" s="11" t="inlineStr">
        <is>
          <t>5492a2c</t>
        </is>
      </c>
      <c r="G20" s="11" t="inlineStr">
        <is>
          <t>No</t>
        </is>
      </c>
      <c r="H20" s="11" t="inlineStr">
        <is>
          <t>marcas de fichero 08:41-12:21 (total medido; reparto por tarea estimado)</t>
        </is>
      </c>
      <c r="J20" s="2" t="n"/>
      <c r="K20" s="2" t="n"/>
      <c r="L20" s="2" t="n"/>
      <c r="M20" s="2" t="n"/>
      <c r="N20" s="2" t="n"/>
      <c r="O20" s="2" t="n"/>
    </row>
    <row r="21" ht="15.75" customHeight="1" s="15">
      <c r="A21" s="6" t="n">
        <v>46274</v>
      </c>
      <c r="B21" s="11" t="inlineStr">
        <is>
          <t>AN</t>
        </is>
      </c>
      <c r="C21" s="11" t="inlineStr">
        <is>
          <t>AN-4</t>
        </is>
      </c>
      <c r="D21" s="11" t="n">
        <v>1</v>
      </c>
      <c r="E21" s="11" t="inlineStr">
        <is>
          <t>Recibir el PTT con la app cerrada: foreground service de tipo specialUse (mediaPlayback no se puede arrancar desde BOOT_COMPLETED con targetSdk 35+), atado al estado de sesion porque un telefono en el canal sin PIN es lo que prohibe el workflow 34; notificacion que dice quien esta hablando, BootReceiver y permiso de notificaciones. Compila; sin probar en aparatos</t>
        </is>
      </c>
      <c r="F21" s="11" t="inlineStr">
        <is>
          <t>5492a2c</t>
        </is>
      </c>
      <c r="G21" s="11" t="inlineStr">
        <is>
          <t>No</t>
        </is>
      </c>
      <c r="H21" s="11" t="inlineStr">
        <is>
          <t>marcas de fichero 08:41-12:21 (total medido; reparto por tarea estimado)</t>
        </is>
      </c>
      <c r="J21" s="2" t="n"/>
      <c r="K21" s="2" t="n"/>
      <c r="L21" s="2" t="n"/>
      <c r="M21" s="2" t="n"/>
      <c r="N21" s="2" t="n"/>
      <c r="O21" s="2" t="n"/>
    </row>
    <row r="22" ht="15.75" customHeight="1" s="15">
      <c r="A22" s="6" t="n">
        <v>46274</v>
      </c>
      <c r="B22" s="11" t="inlineStr">
        <is>
          <t>AN</t>
        </is>
      </c>
      <c r="C22" s="11" t="inlineStr">
        <is>
          <t>AN-5</t>
        </is>
      </c>
      <c r="D22" s="11" t="n">
        <v>0.5</v>
      </c>
      <c r="E22" s="11" t="inlineStr">
        <is>
          <t>Armazon del video de las gafas: cliente HTTP contra 192.168.43.1 con los sockets atados a SU punto de acceso (nada de bindProcessToNetwork, que dejaria a Agora, subidas y mapa sin red) y descarga directa a la boveda cifrada, sin pasar por la galeria. Los tres datos del protocolo quedan marcados y NO inventados: hacen falta las gafas y una captura de trafico</t>
        </is>
      </c>
      <c r="F22" s="11" t="inlineStr">
        <is>
          <t>sin commitear</t>
        </is>
      </c>
      <c r="G22" s="11" t="inlineStr">
        <is>
          <t>No</t>
        </is>
      </c>
      <c r="H22" s="11" t="inlineStr">
        <is>
          <t>marcas de fichero 08:41-12:21 (total medido; reparto por tarea estimado)</t>
        </is>
      </c>
      <c r="J22" s="2" t="n"/>
      <c r="K22" s="2" t="n"/>
      <c r="L22" s="2" t="n"/>
      <c r="M22" s="2" t="n"/>
      <c r="N22" s="2" t="n"/>
      <c r="O22" s="2" t="n"/>
    </row>
    <row r="23" ht="15.75" customHeight="1" s="15">
      <c r="A23" s="6" t="n">
        <v>46274</v>
      </c>
      <c r="B23" s="11" t="inlineStr">
        <is>
          <t>BC</t>
        </is>
      </c>
      <c r="C23" s="11" t="n"/>
      <c r="D23" s="11" t="n">
        <v>1</v>
      </c>
      <c r="E23" s="11" t="inlineStr">
        <is>
          <t>Reunion</t>
        </is>
      </c>
      <c r="F23" s="11" t="n"/>
      <c r="G23" s="11" t="inlineStr">
        <is>
          <t>No</t>
        </is>
      </c>
      <c r="H23" s="11" t="inlineStr">
        <is>
          <t>indicado por el usuario</t>
        </is>
      </c>
      <c r="J23" s="2" t="n"/>
      <c r="K23" s="2" t="n"/>
      <c r="L23" s="2" t="n"/>
      <c r="M23" s="2" t="n"/>
      <c r="N23" s="2" t="n"/>
      <c r="O23" s="2" t="n"/>
    </row>
    <row r="24" ht="15.75" customHeight="1" s="15">
      <c r="A24" s="6" t="n">
        <v>46274</v>
      </c>
      <c r="B24" s="11" t="inlineStr">
        <is>
          <t>AN</t>
        </is>
      </c>
      <c r="C24" s="11" t="inlineStr">
        <is>
          <t>AN-7</t>
        </is>
      </c>
      <c r="D24" s="11" t="n">
        <v>3</v>
      </c>
      <c r="E24" s="11" t="inlineStr">
        <is>
          <t>Boveda, categorizacion en bruto: la evidencia que llega de un periferico (gafas, bodycam) entra SIN incidente y la coloca el agente despues. Tabla raw_evidence con su DAO y BD a v2, apartado PENDING CATEGORIZATION arriba de la boveda, y dialogo de categorizacion con clasificacion, incidente y etiqueta: el agente elige un incidente ya abierto o crea uno nuevo. Dos reglas de diseno: el incidente que se crea se fecha en la GRABACION y no en el momento de categorizar, y lo que no se categoriza se queda en bruto con su fecha, no se pierde ni se le inventa un incidente. SESION QUE FALTABA EN EL LIBRO, detectada el 13-sep.</t>
        </is>
      </c>
      <c r="F24" s="11" t="inlineStr">
        <is>
          <t>22768a9</t>
        </is>
      </c>
      <c r="G24" s="11" t="inlineStr">
        <is>
          <t>No</t>
        </is>
      </c>
      <c r="H24" s="11" t="inlineStr">
        <is>
          <t>marcas de fichero 13:13-15:57 (2,7 h medidas), redondeado al alza a 3 h</t>
        </is>
      </c>
      <c r="J24" s="2" t="n"/>
      <c r="K24" s="2" t="n"/>
      <c r="L24" s="2" t="n"/>
      <c r="M24" s="2" t="n"/>
      <c r="N24" s="2" t="n"/>
      <c r="O24" s="2" t="n"/>
    </row>
    <row r="25" ht="15.75" customHeight="1" s="15">
      <c r="A25" s="6" t="n">
        <v>46274</v>
      </c>
      <c r="B25" s="11" t="inlineStr">
        <is>
          <t>AN</t>
        </is>
      </c>
      <c r="C25" s="11" t="inlineStr">
        <is>
          <t>AN-5</t>
        </is>
      </c>
      <c r="D25" s="11" t="n">
        <v>1.5</v>
      </c>
      <c r="E25" s="11" t="inlineStr">
        <is>
          <t>Gafas BleeqUp, el WiFi resuelto. Integracion del SDK que entrego el fabricante (AAR en app/libs, OkHttp y Gson declarados a mano porque un .aar no trae sus dependencias, regla -keep de R8 para que Gson siga leyendo su JSON en release) y protocolo sacado de su bytecode: endpoints de listado, descarga con Range y borrado. LA CAUSA DEL FALLO: el SDK mete el codigo de pais del telefono en la orden BLE y el AP de las gafas emite en el canal 149 (5745 MHz), no permitido en Europa, asi que con ES el firmware se niega; con CN o US enciende. Ademas las gafas NO se anuncian nunca por BLE, asi que el escaneo del propio SDK no puede encontrarlas y hay que entregarle el aparato emparejado. Verificado de punta a punta en el Samsung: AP encendido, telefono unido y listado real de video e imagenes contra https://192.168.43.1</t>
        </is>
      </c>
      <c r="F25" s="11" t="inlineStr">
        <is>
          <t>sin commitear</t>
        </is>
      </c>
      <c r="G25" s="11" t="inlineStr">
        <is>
          <t>No</t>
        </is>
      </c>
      <c r="H25" s="11" t="inlineStr">
        <is>
          <t>reloj de sesion 21:05-22:25</t>
        </is>
      </c>
      <c r="J25" s="2" t="n"/>
      <c r="K25" s="2" t="n"/>
      <c r="L25" s="2" t="n"/>
      <c r="M25" s="2" t="n"/>
      <c r="N25" s="2" t="n"/>
      <c r="O25" s="2" t="n"/>
    </row>
    <row r="26" ht="15.75" customHeight="1" s="15">
      <c r="A26" s="6" t="n">
        <v>46276</v>
      </c>
      <c r="B26" s="11" t="inlineStr">
        <is>
          <t>AN</t>
        </is>
      </c>
      <c r="C26" s="11" t="inlineStr">
        <is>
          <t>AN-6</t>
        </is>
      </c>
      <c r="D26" s="11" t="n">
        <v>2</v>
      </c>
      <c r="E26" s="11" t="inlineStr">
        <is>
          <t>Video original + proxy y SOS en la nube (telefono). Peticion del manager: original a 1080p sin recomprimir y copia de 720p/15 para que el backend la procese con un LLM. Grabacion con CameraX dentro de la app (el intent de la camara del sistema no deja fijar resolucion), proxy con Media3 Transformer cifrado y borrado al entregarse, subida kind=proxy antes que el original y reanudable. SOS desde la camara: cierra la grabacion, cede la camara al livestream y la reanuda al cancelar; avisos sos/start, latido y stop al backend para Agora Cloud Recording. Especificacion para backend (docs/BACKEND-PROXY-AND-SOS.md). Fallo cazado probando: CameraX recortaba el video a 886x1920. Verificado en el Samsung: original 1920x1080 a 30 fps, proxy 1280x720 a 15 fps, enlace por hash y SOS completo contra stubs</t>
        </is>
      </c>
      <c r="F26" s="11" t="inlineStr">
        <is>
          <t>sin commitear</t>
        </is>
      </c>
      <c r="G26" s="11" t="inlineStr">
        <is>
          <t>No</t>
        </is>
      </c>
      <c r="H26" s="11" t="inlineStr">
        <is>
          <t>reloj de sesion 14:26-16:30 (2,1 h medidas), redondeado al alza a 3 h por indicacion del usuario; reparto por app estimado</t>
        </is>
      </c>
      <c r="J26" s="2" t="n"/>
      <c r="K26" s="2" t="n"/>
      <c r="L26" s="2" t="n"/>
      <c r="M26" s="2" t="n"/>
      <c r="N26" s="2" t="n"/>
      <c r="O26" s="2" t="n"/>
    </row>
    <row r="27" ht="15.75" customHeight="1" s="15">
      <c r="A27" s="6" t="n">
        <v>46276</v>
      </c>
      <c r="B27" s="11" t="inlineStr">
        <is>
          <t>BC</t>
        </is>
      </c>
      <c r="C27" s="11" t="inlineStr">
        <is>
          <t>BC-9</t>
        </is>
      </c>
      <c r="D27" s="11" t="n">
        <v>1.5</v>
      </c>
      <c r="E27" s="11" t="inlineStr">
        <is>
          <t>Video original + proxy y SOS en la nube (bodycam). El original deja de recodificarse (hasta hoy el rotulo del oficial se quemaba en la evidencia sellada): remux sin tocar los frames. Grabacion a 1080p cuando la camara lo ofrece (la W1 da 1920x1088), proxy de 720/15 con el rotulo solo ahi, bloque proxy en el manifest, subida manifest-proxy-original y aviso del SOS al backend. Verificado en la W1: el MP4 subido es el que escribio la camara (mismo hash), proxy 1264x720 a 14,9 fps, SOS completo contra stubs. Medido: la W1 graba a ~24-25 fps a cualquier resolucion</t>
        </is>
      </c>
      <c r="F27" s="11" t="inlineStr">
        <is>
          <t>sin commitear</t>
        </is>
      </c>
      <c r="G27" s="11" t="inlineStr">
        <is>
          <t>No</t>
        </is>
      </c>
      <c r="H27" s="11" t="inlineStr">
        <is>
          <t>reloj de sesion 14:26-16:30 (2,1 h medidas), redondeado al alza a 3 h por indicacion del usuario; reparto por app estimado</t>
        </is>
      </c>
      <c r="J27" s="2" t="n"/>
      <c r="K27" s="2" t="n"/>
      <c r="L27" s="2" t="n"/>
      <c r="M27" s="2" t="n"/>
      <c r="N27" s="2" t="n"/>
      <c r="O27" s="2" t="n"/>
    </row>
    <row r="28" ht="15.75" customHeight="1" s="15">
      <c r="A28" s="6" t="n">
        <v>46277</v>
      </c>
      <c r="B28" s="11" t="inlineStr">
        <is>
          <t>AN</t>
        </is>
      </c>
      <c r="C28" s="11" t="inlineStr">
        <is>
          <t>AN-5</t>
        </is>
      </c>
      <c r="D28" s="11" t="n">
        <v>3</v>
      </c>
      <c r="E28" s="11" t="inlineStr">
        <is>
          <t>Mando a distancia de las gafas BleeqUp desde Nexus: arrancar y parar la grabacion y hacer foto por BLE, que hasta hoy no se podia (la app solo miraba si estaban enlazadas). Canal de mando propio (GafasCommandRepository) sobre el GATT del fabricante, con el arranque del SDK y el puente al aparato emparejado extraidos a un solo sitio (GafasSdkPuente), pantalla FALCON LENS con estado de los dos enlaces, resolucion y espacio libre de la tarjeta, y segundo boton de aparato en Operations. El GATT se suelta al salir de la pantalla: si se queda abierto, Android reusa el enlace cacheado y las escrituras siguientes fallan. LIMITE DEL SDK, escrito en pantalla: no existe ninguna orden para preguntar si las gafas estan grabando, asi que el indicador es la ultima orden dada y no un hecho; si el agente usa el boton fisico, el telefono no se entera. COMPILA SIN WARNINGS, SIN PROBAR CONTRA LAS GAFAS: no habia aparatos por adb</t>
        </is>
      </c>
      <c r="F28" s="11" t="inlineStr">
        <is>
          <t>sin commitear</t>
        </is>
      </c>
      <c r="G28" s="11" t="inlineStr">
        <is>
          <t>No</t>
        </is>
      </c>
      <c r="H28" s="11" t="inlineStr">
        <is>
          <t>indicado por el usuario</t>
        </is>
      </c>
      <c r="J28" s="2" t="n"/>
      <c r="K28" s="2" t="n"/>
      <c r="L28" s="2" t="n"/>
      <c r="M28" s="2" t="n"/>
      <c r="N28" s="2" t="n"/>
      <c r="O28" s="2" t="n"/>
    </row>
    <row r="29" ht="15.75" customHeight="1" s="15">
      <c r="A29" s="6" t="n">
        <v>46278</v>
      </c>
      <c r="B29" s="11" t="inlineStr">
        <is>
          <t>AN</t>
        </is>
      </c>
      <c r="C29" s="11" t="inlineStr">
        <is>
          <t>AN-8</t>
        </is>
      </c>
      <c r="D29" s="11" t="n">
        <v>8.5</v>
      </c>
      <c r="E29" s="11" t="inlineStr">
        <is>
          <t>Rele de la bodycam a las FalconOne, de punta a punta, mas repaso de interfaz. El oficial pulsa grabar o el SOS en la camara del pecho y las gafas graban solas, sin tocar el telefono (peticion del manager). Canal BLE permanente con reintento, estado de grabacion honesto con los botones fisicos, notificacion de video pendiente, descarga completa por el WiFi de las gafas hasta la boveda cifrada, y aviso sonoro si un SOS se queda sin ellas. Antes, desmontado el AAR del fabricante para sacar el protocolo HTTP, que no estaba documentado. Verificado contra la W1 y las gafas: del boton al fichero cifrado en 14 s. Interfaz: todos los textos a ingles, barra superior unificada en todas las pantallas con el patron de Android (un solo Scaffold envolviendo el NavHost), mandos de perifericos movidos a los iconos de esa barra, PTT con el peso del boton de emergencia, ficha del oficial visible sin scroll en la pantalla de PIN y renombrado de las gafas a FalconOne. Repaso general: arreglados un fallo que reventaba la boveda al abrirla, nombres de fichero que se pisaban en descargas en lote, una excepcion de API 28 capturada con minSdk 26 que habria tumbado el alta en Android 8, y la descarga que se quedaba colgada en 'Retrieving' si caia el WiFi de las gafas. Anadido interruptor de compilacion para dejar el selector de estado de confianza en la APK de release de pruebas.</t>
        </is>
      </c>
      <c r="F29" s="11" t="inlineStr">
        <is>
          <t>347abb0, 8b9175b, 69c7530, f886beb, f33d11f</t>
        </is>
      </c>
      <c r="G29" s="11" t="inlineStr">
        <is>
          <t>No</t>
        </is>
      </c>
      <c r="H29" s="11" t="inlineStr">
        <is>
          <t>marcas de fichero 15:13-23:25 (8,2 h medidas), redondeado al alza a 8,5 h</t>
        </is>
      </c>
      <c r="J29" s="2" t="n"/>
      <c r="K29" s="2" t="n"/>
      <c r="L29" s="2" t="n"/>
      <c r="M29" s="2" t="n"/>
      <c r="N29" s="2" t="n"/>
      <c r="O29" s="2" t="n"/>
    </row>
    <row r="30" ht="15.75" customHeight="1" s="15">
      <c r="A30" s="6" t="n">
        <v>46279</v>
      </c>
      <c r="B30" s="11" t="inlineStr">
        <is>
          <t>AN</t>
        </is>
      </c>
      <c r="C30" s="11" t="inlineStr">
        <is>
          <t>AN-9</t>
        </is>
      </c>
      <c r="D30" s="11" t="n">
        <v>1.3</v>
      </c>
      <c r="E30" s="11" t="inlineStr">
        <is>
          <t>Enlace con la bodycam sin MAC compilada y uid propio por unidad (telefono). Busqueda Bluetooth y selector de bodycam desde la app, con la eleccion guardada: un APK ya sirve para cualquier W1. Cada bodycam se reconoce por rango de uid y la propia por el stream_uid del STATUS, lo que arregla que un telefono con su bodycam enlazada silenciara el SOS de la bodycam de otro agente. Estado de SOS y PTT por uid, visor por uid y prueba JVM del contrato de rangos. Analisis y requisitos del PTT hacia la bodycam. Verificado con W1 y Samsung.</t>
        </is>
      </c>
      <c r="F30" s="11" t="inlineStr">
        <is>
          <t>sin commitear</t>
        </is>
      </c>
      <c r="G30" s="11" t="inlineStr">
        <is>
          <t>No</t>
        </is>
      </c>
      <c r="H30" s="11" t="inlineStr">
        <is>
          <t>reloj de sesion 19:36-19:52 y 21:53-23:50 (2,2 h medidas, sin el hueco 19:52-21:34 del reinicio), redondeado al alza a 2,5 h; reparto por app y tarea estimado</t>
        </is>
      </c>
      <c r="J30" s="2" t="n"/>
      <c r="K30" s="2" t="n"/>
      <c r="L30" s="2" t="n"/>
      <c r="M30" s="2" t="n"/>
      <c r="N30" s="2" t="n"/>
      <c r="O30" s="2" t="n"/>
    </row>
    <row r="31" ht="15.75" customHeight="1" s="15">
      <c r="A31" s="6" t="n">
        <v>46279</v>
      </c>
      <c r="B31" s="11" t="inlineStr">
        <is>
          <t>BC</t>
        </is>
      </c>
      <c r="C31" s="11" t="inlineStr">
        <is>
          <t>BC-10</t>
        </is>
      </c>
      <c r="D31" s="11" t="n">
        <v>0.6</v>
      </c>
      <c r="E31" s="11" t="inlineStr">
        <is>
          <t>Visibilidad y uid propio (bodycam). La W1 se deja encontrar 5 min al arrancar (setScanMode oculto; el tiempo lo corta la propia app porque Android 9 no lo cumple), verificado tambien con la pantalla apagada. uid de Agora sacado de la identidad BWC (BWC-896E entra como 45182) en las entradas al canal, en el STATUS y en el aviso de SOS al backend, que ahora recibe bwc_id.</t>
        </is>
      </c>
      <c r="F31" s="11" t="inlineStr">
        <is>
          <t>sin commitear</t>
        </is>
      </c>
      <c r="G31" s="11" t="inlineStr">
        <is>
          <t>No</t>
        </is>
      </c>
      <c r="H31" s="11" t="inlineStr">
        <is>
          <t>reloj de sesion 19:36-19:52 y 21:53-23:50 (2,2 h medidas, sin el hueco 19:52-21:34 del reinicio), redondeado al alza a 2,5 h; reparto por app y tarea estimado</t>
        </is>
      </c>
      <c r="J31" s="2" t="n"/>
      <c r="K31" s="2" t="n"/>
      <c r="L31" s="2" t="n"/>
      <c r="M31" s="2" t="n"/>
      <c r="N31" s="2" t="n"/>
      <c r="O31" s="2" t="n"/>
    </row>
    <row r="32" ht="15.75" customHeight="1" s="15">
      <c r="A32" s="6" t="n">
        <v>46279</v>
      </c>
      <c r="B32" s="11" t="inlineStr">
        <is>
          <t>BC</t>
        </is>
      </c>
      <c r="C32" s="11" t="inlineStr">
        <is>
          <t>BC-8</t>
        </is>
      </c>
      <c r="D32" s="11" t="n">
        <v>0.6</v>
      </c>
      <c r="E32" s="11" t="inlineStr">
        <is>
          <t>Medicion del PTT hacia la bodycam: sonda de depuracion que escucha el canal sin capturar. Resultado: la grabacion conserva su audio y recoge la voz que sale por el altavoz; Agora no abre el microfono y el modo de audio sigue en normal. Se lanzo tambien la medicion de bateria, sin analizar.</t>
        </is>
      </c>
      <c r="F32" s="11" t="inlineStr">
        <is>
          <t>sin commitear</t>
        </is>
      </c>
      <c r="G32" s="11" t="inlineStr">
        <is>
          <t>No</t>
        </is>
      </c>
      <c r="H32" s="11" t="inlineStr">
        <is>
          <t>reloj de sesion 19:36-19:52 y 21:53-23:50 (2,2 h medidas, sin el hueco 19:52-21:34 del reinicio), redondeado al alza a 2,5 h; reparto por app y tarea estimado</t>
        </is>
      </c>
      <c r="J32" s="2" t="n"/>
      <c r="K32" s="2" t="n"/>
      <c r="L32" s="2" t="n"/>
      <c r="M32" s="2" t="n"/>
      <c r="N32" s="2" t="n"/>
      <c r="O32" s="2" t="n"/>
    </row>
    <row r="33" ht="15.75" customHeight="1" s="15">
      <c r="A33" s="6" t="n">
        <v>46280</v>
      </c>
      <c r="B33" s="11" t="inlineStr">
        <is>
          <t>AN</t>
        </is>
      </c>
      <c r="C33" s="11" t="inlineStr">
        <is>
          <t>AN-4</t>
        </is>
      </c>
      <c r="D33" s="11" t="n">
        <v>0.5</v>
      </c>
      <c r="E33" s="11" t="inlineStr">
        <is>
          <t>PTT del telefono como conmutador (peticion del usuario): un toque abre el canal y otro lo cierra, en lugar de mantener pulsado; se sigue cerrando al salir de Operations y, al conceder el permiso de microfono, el canal se abre sin repetir el toque. Diagnostico de por que el PTT del Samsung no llegaba a nadie: llevaba fuera del canal desde la 01:44 (Agora dio la conexion por fallida tras 20 min sin red), Nexus no vuelve a entrar y sigue marcando ONLINE. Fallo documentado, SIN ARREGLAR. Verificado en el Samsung: micro abierto 13:03:32 y cerrado 13:03:39 con dos toques</t>
        </is>
      </c>
      <c r="F33" s="11" t="inlineStr">
        <is>
          <t>sin commitear</t>
        </is>
      </c>
      <c r="G33" s="11" t="inlineStr">
        <is>
          <t>No</t>
        </is>
      </c>
      <c r="H33" s="11" t="inlineStr">
        <is>
          <t>reloj de sesion 12:28-13:07 (0,65 h medidas), redondeado al alza a 1 h; reparto por app estimado sobre las marcas de fichero</t>
        </is>
      </c>
      <c r="J33" s="2" t="n"/>
      <c r="K33" s="2" t="n"/>
      <c r="L33" s="2" t="n"/>
      <c r="M33" s="2" t="n"/>
      <c r="N33" s="2" t="n"/>
      <c r="O33" s="2" t="n"/>
    </row>
    <row r="34" ht="15.75" customHeight="1" s="15">
      <c r="A34" s="6" t="n">
        <v>46280</v>
      </c>
      <c r="B34" s="11" t="inlineStr">
        <is>
          <t>BC</t>
        </is>
      </c>
      <c r="C34" s="11" t="inlineStr">
        <is>
          <t>BC-8</t>
        </is>
      </c>
      <c r="D34" s="11" t="n">
        <v>0.5</v>
      </c>
      <c r="E34" s="11" t="inlineStr">
        <is>
          <t>PTT del telefono sonando en la bodycam, punto 1: la W1 esta siempre en el canal de Agora como audiencia, sin capturar, con un solo motor compartido. El SOS y el PTT de la unidad ya no entran ni salen del canal: suben a emitir y vuelven a escuchar. Reentrada tras perder la conexion y SOS pedido sin red que sale al volver. Verificado en la W1: entra en 333 ms, la grabacion conserva el microfono, PTT y SOS propios suben y bajan y rearman el anillo, y el PTT del Samsung se reproduce en la unidad (DECODING)</t>
        </is>
      </c>
      <c r="F34" s="11" t="inlineStr">
        <is>
          <t>sin commitear</t>
        </is>
      </c>
      <c r="G34" s="11" t="inlineStr">
        <is>
          <t>No</t>
        </is>
      </c>
      <c r="H34" s="11" t="inlineStr">
        <is>
          <t>reloj de sesion 12:28-13:07 (0,65 h medidas), redondeado al alza a 1 h; reparto por app estimado sobre las marcas de fichero</t>
        </is>
      </c>
      <c r="J34" s="2" t="n"/>
      <c r="K34" s="2" t="n"/>
      <c r="L34" s="2" t="n"/>
      <c r="M34" s="2" t="n"/>
      <c r="N34" s="2" t="n"/>
      <c r="O34" s="2" t="n"/>
    </row>
    <row r="35" ht="15.75" customHeight="1" s="15">
      <c r="A35" s="6" t="n">
        <v>46280</v>
      </c>
      <c r="B35" s="11" t="inlineStr">
        <is>
          <t>AN</t>
        </is>
      </c>
      <c r="C35" s="11" t="inlineStr">
        <is>
          <t>AN-4</t>
        </is>
      </c>
      <c r="D35" s="11" t="n">
        <v>0.3</v>
      </c>
      <c r="E35" s="11" t="inlineStr">
        <is>
          <t>Reconexion al canal de Agora en Nexus. El telefono llevaba fuera del canal desde la 01:44 y la barra seguia en ONLINE: la app no escuchaba el estado de la conexion, no volvia a entrar nunca tras el FAILED de Agora (20 min sin red) y el ONLINE era un texto fijo. Ahora: reentrada cada 5 s con el mismo uid, el PTT propio se cierra con zumbido y no se abre fuera del canal, se limpian los avisos ajenos colgados, se republica el SOS al volver, se recrea el data stream si deja de valer (paso en la prueba) y la barra dice ONLINE / RECONNECTING / OFFLINE. Atajo debug para simular el fallo. Verificado en el Samsung.</t>
        </is>
      </c>
      <c r="F35" s="11" t="inlineStr">
        <is>
          <t>49d8c20</t>
        </is>
      </c>
      <c r="G35" s="11" t="inlineStr">
        <is>
          <t>No</t>
        </is>
      </c>
      <c r="H35" s="11" t="inlineStr">
        <is>
          <t>reloj de sesion 13:34-14:05 y 14:22-15:06 (1,25 h medidas), redondeado al alza a 1,5 h; no se cuentan 13:20-13:34 (anotar las horas de la manana) ni 14:05-14:22 (espera a que se desbloqueara el Samsung); reparto por bloque estimado</t>
        </is>
      </c>
      <c r="J35" s="2" t="n"/>
      <c r="K35" s="2" t="n"/>
      <c r="L35" s="2" t="n"/>
      <c r="M35" s="2" t="n"/>
      <c r="N35" s="2" t="n"/>
      <c r="O35" s="2" t="n"/>
    </row>
    <row r="36" ht="15.75" customHeight="1" s="15">
      <c r="A36" s="6" t="n">
        <v>46280</v>
      </c>
      <c r="B36" s="11" t="inlineStr">
        <is>
          <t>AN</t>
        </is>
      </c>
      <c r="C36" s="11" t="inlineStr">
        <is>
          <t>AN-2</t>
        </is>
      </c>
      <c r="D36" s="11" t="n">
        <v>0.6</v>
      </c>
      <c r="E36" s="11" t="inlineStr">
        <is>
          <t>IAM: revision contra el codigo de lo marcado como hecho (wf 4 y 13 confirmados; wf 30 exageraba, no habia gesto de cerrar sesion; aviso de SIMULADOR_CONFIANZA_EN_RELEASE=true). Workflow 5, cambio de PIN en tres pasos, con los fallos contando contra el limite del desbloqueo. Workflow 30, fin de turno: desata la bodycam con FIN_DE_TURNO, retira la autorizacion de la clave del agente, sella la boveda y bloquea. Verificado en el Samsung (cambio, bloqueo y PIN nuevo; PIN de los testers restaurado). Seguimiento-IAM actualizado.</t>
        </is>
      </c>
      <c r="F36" s="11" t="inlineStr">
        <is>
          <t>sin commitear</t>
        </is>
      </c>
      <c r="G36" s="11" t="inlineStr">
        <is>
          <t>No</t>
        </is>
      </c>
      <c r="H36" s="11" t="inlineStr">
        <is>
          <t>reloj de sesion 13:34-14:05 y 14:22-15:06 (1,25 h medidas), redondeado al alza a 1,5 h; no se cuentan 13:20-13:34 (anotar las horas de la manana) ni 14:05-14:22 (espera a que se desbloqueara el Samsung); reparto por bloque estimado</t>
        </is>
      </c>
      <c r="J36" s="2" t="n"/>
      <c r="K36" s="2" t="n"/>
      <c r="L36" s="2" t="n"/>
      <c r="M36" s="2" t="n"/>
      <c r="N36" s="2" t="n"/>
      <c r="O36" s="2" t="n"/>
    </row>
    <row r="37" ht="15.75" customHeight="1" s="15">
      <c r="A37" s="6" t="n">
        <v>46280</v>
      </c>
      <c r="B37" s="11" t="inlineStr">
        <is>
          <t>AN</t>
        </is>
      </c>
      <c r="C37" s="11" t="inlineStr">
        <is>
          <t>AN-10</t>
        </is>
      </c>
      <c r="D37" s="11" t="n">
        <v>0.6</v>
      </c>
      <c r="E37" s="11" t="inlineStr">
        <is>
          <t>IAM workflows 61 y 46: diario de auditoria local a prueba de manipulacion. Cada evento encadenado con HMAC-SHA256 y clave propia del Keystore; eventos de sesion, bodycam, boveda y cada visionado de evidencia, con agente, dispositivo y sesion; pantalla Audit log con el estado de la cadena. 8 pruebas JVM, una por ataque. Verificado en el Samsung: eventos reales registrados y un evento manipulado a mano detectado en su numero exacto. Limite escrito: cortar el final solo lo detecta el backend.</t>
        </is>
      </c>
      <c r="F37" s="11" t="inlineStr">
        <is>
          <t>sin commitear</t>
        </is>
      </c>
      <c r="G37" s="11" t="inlineStr">
        <is>
          <t>No</t>
        </is>
      </c>
      <c r="H37" s="11" t="inlineStr">
        <is>
          <t>reloj de sesion 13:34-14:05 y 14:22-15:06 (1,25 h medidas), redondeado al alza a 1,5 h; no se cuentan 13:20-13:34 (anotar las horas de la manana) ni 14:05-14:22 (espera a que se desbloqueara el Samsung); reparto por bloque estimado</t>
        </is>
      </c>
      <c r="J37" s="2" t="n"/>
      <c r="K37" s="2" t="n"/>
      <c r="L37" s="2" t="n"/>
      <c r="M37" s="2" t="n"/>
      <c r="N37" s="2" t="n"/>
      <c r="O37" s="2" t="n"/>
    </row>
    <row r="38" ht="15.75" customHeight="1" s="15">
      <c r="A38" s="6" t="n">
        <v>46280</v>
      </c>
      <c r="B38" s="11" t="inlineStr">
        <is>
          <t>AN</t>
        </is>
      </c>
      <c r="C38" s="11" t="inlineStr">
        <is>
          <t>AN-5</t>
        </is>
      </c>
      <c r="D38" s="11" t="n">
        <v>1</v>
      </c>
      <c r="E38" s="11" t="inlineStr">
        <is>
          <t>Gafas FalconOne sin MAC compilada: la MAC de las gafas iba metida en el APK, asi que la app solo reconocia nuestras gafas de pruebas y el manager no podia usar las suyas. Selector en la pantalla FalconOne con las gafas emparejadas en el telefono (destacadas las BleeqUp), eleccion guardada, eleccion automatica cuando solo hay unas emparejadas (tambien para el rele de la bodycam, que no pasa por la pantalla), boton CHANGE y acceso a los ajustes de Bluetooth. Verificado en el Redmi: las gafas se eligen solas y el enlace de audio se ve CONNECTED.</t>
        </is>
      </c>
      <c r="F38" s="11" t="inlineStr">
        <is>
          <t>sin commitear</t>
        </is>
      </c>
      <c r="G38" s="11" t="inlineStr">
        <is>
          <t>No</t>
        </is>
      </c>
      <c r="H38" s="11" t="inlineStr">
        <is>
          <t>indicado por el usuario: 2 h. Reloj de sesion 15:06-15:27, 16:03-16:26 y 16:41-16:48 (0,85 h activas); los huecos 15:27-16:03 y 16:26-16:41 fueron del usuario generando la release para el manager y probando en el Redmi. Reparto 1 / 1 estimado</t>
        </is>
      </c>
      <c r="J38" s="2" t="n"/>
      <c r="K38" s="2" t="n"/>
      <c r="L38" s="2" t="n"/>
      <c r="M38" s="2" t="n"/>
      <c r="N38" s="2" t="n"/>
      <c r="O38" s="2" t="n"/>
    </row>
    <row r="39" ht="15.75" customHeight="1" s="15">
      <c r="A39" s="6" t="n">
        <v>46280</v>
      </c>
      <c r="B39" s="11" t="inlineStr">
        <is>
          <t>AN</t>
        </is>
      </c>
      <c r="C39" s="11" t="inlineStr">
        <is>
          <t>AN-5</t>
        </is>
      </c>
      <c r="D39" s="11" t="n">
        <v>1</v>
      </c>
      <c r="E39" s="11" t="inlineStr">
        <is>
          <t>Gafas que no conectaban en Android 11 (Redmi del manager): 'NO CONTROL / The FalconOne is not responding'. Descartada la release (fallaba igual en debug) y localizada la causa desensamblando el SDK del fabricante: comprueba el permiso BLUETOOTH_CONNECT, que no existe hasta Android 12, y en Android 11 responde 'no conectado' sin intentar la conexion. Arreglado sin tocar su libreria, pasandole un contexto que en Android 11 o anterior responde con los permisos Bluetooth reales de esa version. De paso, Android 11 bloqueaba los avisos de conexion de las gafas a la app: corregido. Verificado en el Redmi: CONTROL READY y conexion GATT de la app confirmada por el sistema.</t>
        </is>
      </c>
      <c r="F39" s="11" t="inlineStr">
        <is>
          <t>sin commitear</t>
        </is>
      </c>
      <c r="G39" s="11" t="inlineStr">
        <is>
          <t>No</t>
        </is>
      </c>
      <c r="H39" s="11" t="inlineStr">
        <is>
          <t>indicado por el usuario: 2 h. Reloj de sesion 15:06-15:27, 16:03-16:26 y 16:41-16:48 (0,85 h activas); los huecos 15:27-16:03 y 16:26-16:41 fueron del usuario generando la release para el manager y probando en el Redmi. Reparto 1 / 1 estimado</t>
        </is>
      </c>
      <c r="J39" s="2" t="n"/>
      <c r="K39" s="2" t="n"/>
      <c r="L39" s="2" t="n"/>
      <c r="M39" s="2" t="n"/>
      <c r="N39" s="2" t="n"/>
      <c r="O39" s="2" t="n"/>
    </row>
    <row r="40" ht="15.75" customHeight="1" s="15">
      <c r="A40" s="6" t="n">
        <v>46280</v>
      </c>
      <c r="B40" s="11" t="inlineStr">
        <is>
          <t>AN</t>
        </is>
      </c>
      <c r="C40" s="11" t="inlineStr">
        <is>
          <t>AN-4</t>
        </is>
      </c>
      <c r="D40" s="11" t="n">
        <v>1</v>
      </c>
      <c r="E40" s="11" t="inlineStr">
        <is>
          <t>PTT pisado (peticion del usuario): si un agente esta hablando con el PTT abierto y otro abre el suyo encima, o al reves, suena un tono nuevo de tres pitidos agudos a volumen pleno (el pitido normal de recepcion quedaba tapado por la propia voz) y el boton PTT se pone ambar con icono de aviso y '&lt;oficial&gt; ALSO ON AIR'. Cuenta tambien la bodycam del propio agente. Tono copiado igual en BodyCamServer para mantener los tonos gemelos. Atajo debug para simular el PTT de otro agente con un solo telefono. Verificado en el Samsung con ese atajo (pantalla y numero de tonos en los cuatro casos); falta la prueba con dos telefonos reales.</t>
        </is>
      </c>
      <c r="F40" s="11" t="inlineStr">
        <is>
          <t>sin commitear</t>
        </is>
      </c>
      <c r="G40" s="11" t="inlineStr">
        <is>
          <t>No</t>
        </is>
      </c>
      <c r="H40" s="11" t="inlineStr">
        <is>
          <t>indicado por el usuario: 1 h</t>
        </is>
      </c>
      <c r="J40" s="2" t="n"/>
      <c r="K40" s="2" t="n"/>
      <c r="L40" s="2" t="n"/>
      <c r="M40" s="2" t="n"/>
      <c r="N40" s="2" t="n"/>
      <c r="O40" s="2" t="n"/>
    </row>
    <row r="41" ht="15.75" customHeight="1" s="15">
      <c r="A41" s="6" t="n">
        <v>46281</v>
      </c>
      <c r="B41" s="11" t="inlineStr">
        <is>
          <t>NX</t>
        </is>
      </c>
      <c r="C41" s="11" t="inlineStr">
        <is>
          <t>NX-1</t>
        </is>
      </c>
      <c r="D41" s="11" t="n">
        <v>3.5</v>
      </c>
      <c r="E41" s="11" t="inlineStr">
        <is>
          <t>Backend, arranque del ecosistema e identidad: repositorio de contratos aeria-contracts (upload-protocol, crypto-format, manifest-schema, iam-session, insights-schema, openapi) y simulador de cliente que recorre enrolamiento, sesion y las tres subidas generando un .fev real; tres costuras de portabilidad (almacen de evidencia, desenvoltura de claves, esquema de insights) para que ningun otro sitio hable con el SDK de un proveedor; e IAM F1-F6: modelos de identidad, dos CA separadas, enrolamiento de dispositivo y de agente con CSR y prueba de posesion, retos y sesion por token, autorizacion por rol con acotado de la evidencia, login del panel por persona y revocacion. 229 tests</t>
        </is>
      </c>
      <c r="F41" s="11" t="inlineStr">
        <is>
          <t>fc48ce9, ebc20a7, 970b5df, b0b8734, dd2998d, e2e6924, 472c800</t>
        </is>
      </c>
      <c r="G41" s="11" t="inlineStr">
        <is>
          <t>No</t>
        </is>
      </c>
      <c r="H41" s="11" t="inlineStr">
        <is>
          <t>commits 15:32-18:47 (3,25 h medidas, al alza 3,5 segun la regla del 13-sep)</t>
        </is>
      </c>
      <c r="J41" s="2" t="n"/>
      <c r="K41" s="2" t="n"/>
      <c r="L41" s="2" t="n"/>
      <c r="M41" s="2" t="n"/>
      <c r="N41" s="2" t="n"/>
      <c r="O41" s="2" t="n"/>
    </row>
    <row r="42" ht="15.75" customHeight="1" s="15">
      <c r="A42" s="6" t="n">
        <v>46281</v>
      </c>
      <c r="B42" s="11" t="inlineStr">
        <is>
          <t>NX</t>
        </is>
      </c>
      <c r="C42" s="11" t="inlineStr">
        <is>
          <t>NX-2</t>
        </is>
      </c>
      <c r="D42" s="11" t="n">
        <v>5</v>
      </c>
      <c r="E42" s="11" t="inlineStr">
        <is>
          <t>Backend, ingesta de evidencia y analisis: endpoint tus 1.0.0 reanudable con verificacion de integridad por sha256 del cifrado; y enlace subida-&gt;analisis, que era la cadena rota (recuperar del almacen, descifrar el .fev, temporal en claro que se borra pase lo que pase, verificacion de custodia contra el sha256_plain del manifiesto, mapeo al esquema canonico y encolado automatico). Tres fallos propios encontrados al probar: descriptor de mkstemp sin cerrar, try que no protegia el on_commit, y 109 s de espera al encolar sin Redis por el almacen de resultados. 250 tests</t>
        </is>
      </c>
      <c r="F42" s="11" t="inlineStr">
        <is>
          <t>ec1d5cf, 8115e2c, 6cc9451</t>
        </is>
      </c>
      <c r="G42" s="11" t="inlineStr">
        <is>
          <t>No</t>
        </is>
      </c>
      <c r="H42" s="11" t="inlineStr">
        <is>
          <t>commits 18:47-23:42 (4,9 h medidas, al alza 5)</t>
        </is>
      </c>
      <c r="J42" s="2" t="n"/>
      <c r="K42" s="2" t="n"/>
      <c r="L42" s="2" t="n"/>
      <c r="M42" s="2" t="n"/>
      <c r="N42" s="2" t="n"/>
      <c r="O42" s="2" t="n"/>
    </row>
    <row r="43" ht="15.75" customHeight="1" s="15">
      <c r="A43" s="6" t="n">
        <v>46282</v>
      </c>
      <c r="B43" s="11" t="inlineStr">
        <is>
          <t>NX</t>
        </is>
      </c>
      <c r="C43" s="11" t="inlineStr">
        <is>
          <t>NX-3</t>
        </is>
      </c>
      <c r="D43" s="11" t="n">
        <v>2.5</v>
      </c>
      <c r="E43" s="11" t="inlineStr">
        <is>
          <t>Backend, coste medido y demostracion: modelo de coste con las tarifas reales aportadas por el usuario, midiendo los ocho prompts en el codigo (0,45 EUR por incidente de 10 min; el indexador cuesta 3,5 veces el modelo, al reves de lo que decia la documentacion). Dos fallos propios del dia anterior arreglados (NameError en init_conversation y json.dumps sobre un dataclass, que colaba un repr de Python en el prompt) y cerrado el test de login intermitente parando el reloj. Comando inspeccionar_subidas para ver que llega de verdad de un dispositivo, abriendo el sobre cifrado. Y descubierto y arreglado que el panel no podia reproducir NINGUN video subido por un agente: modulo preview con descifrado a copia reutilizable, mas interruptor para apagar el indicador de IA en la demostracion. 264 tests</t>
        </is>
      </c>
      <c r="F43" s="11" t="inlineStr">
        <is>
          <t>sin commitear</t>
        </is>
      </c>
      <c r="G43" s="11" t="inlineStr">
        <is>
          <t>No</t>
        </is>
      </c>
      <c r="H43" s="11" t="inlineStr">
        <is>
          <t>2,5 h indicadas por el usuario; la sesion se prolongo pasada la medianoche y se imputa entera al 17</t>
        </is>
      </c>
      <c r="J43" s="2" t="n"/>
      <c r="K43" s="2" t="n"/>
      <c r="L43" s="2" t="n"/>
      <c r="M43" s="2" t="n"/>
      <c r="N43" s="2" t="n"/>
      <c r="O43" s="2" t="n"/>
    </row>
    <row r="44" ht="15.75" customHeight="1" s="15">
      <c r="A44" s="6" t="n">
        <v>46283</v>
      </c>
      <c r="B44" s="11" t="inlineStr">
        <is>
          <t>NX</t>
        </is>
      </c>
      <c r="C44" s="11" t="inlineStr">
        <is>
          <t>NX-1</t>
        </is>
      </c>
      <c r="D44" s="11" t="n">
        <v>0.8</v>
      </c>
      <c r="E44" s="11" t="inlineStr">
        <is>
          <t>Acceso al panel (tramo A, 10:15-11:02): retirada del respaldo a la cuenta de demostracion, un login sin usuario ya no entra como demo; check de arranque incidents.E001 que detiene el despliegue con DEBUG=False y rechazo en authenticate() para el caso gunicorn. 7 tests nuevos, 1 invertido y 2 heredados arreglados. 270 tests</t>
        </is>
      </c>
      <c r="F44" s="11" t="inlineStr">
        <is>
          <t>sin commitear</t>
        </is>
      </c>
      <c r="G44" s="11" t="inlineStr">
        <is>
          <t>No</t>
        </is>
      </c>
      <c r="H44" s="11" t="inlineStr">
        <is>
          <t>total de 4 h indicado por el usuario; reloj de la sesion de backend 10:15:48-14:28:12 (4,21 h) mas marcas de fichero (10:58, 11:23, 12:27, 13:40) y la sesion de la app hasta 15:25; reparto por tramo estimado</t>
        </is>
      </c>
      <c r="J44" s="2" t="n"/>
      <c r="K44" s="2" t="n"/>
      <c r="L44" s="2" t="n"/>
      <c r="M44" s="2" t="n"/>
      <c r="N44" s="2" t="n"/>
      <c r="O44" s="2" t="n"/>
    </row>
    <row r="45" ht="15.75" customHeight="1" s="15">
      <c r="A45" s="6" t="n">
        <v>46283</v>
      </c>
      <c r="B45" s="11" t="inlineStr">
        <is>
          <t>NX</t>
        </is>
      </c>
      <c r="C45" s="11" t="inlineStr">
        <is>
          <t>NX-3</t>
        </is>
      </c>
      <c r="D45" s="11" t="n">
        <v>0.4</v>
      </c>
      <c r="E45" s="11" t="inlineStr">
        <is>
          <t>Panel web (tramo B, 11:02-11:23): caida por agente nulo (TypeError en 6 puntos de 5 ficheros, causa raiz useState&lt;any[]&gt; en la lista). Nuevo lib/officer.ts, tipo IncidentListItem, tipos del pipeline, union duplicada retirada y proporcion real del logo; los avisos de lint bajan de 31 a 27</t>
        </is>
      </c>
      <c r="F45" s="11" t="inlineStr">
        <is>
          <t>sin commitear</t>
        </is>
      </c>
      <c r="G45" s="11" t="inlineStr">
        <is>
          <t>No</t>
        </is>
      </c>
      <c r="H45" s="11" t="inlineStr">
        <is>
          <t>total de 4 h indicado por el usuario; reloj de la sesion de backend 10:15:48-14:28:12 (4,21 h) mas marcas de fichero (10:58, 11:23, 12:27, 13:40) y la sesion de la app hasta 15:25; reparto por tramo estimado</t>
        </is>
      </c>
      <c r="J45" s="2" t="n"/>
      <c r="K45" s="2" t="n"/>
      <c r="L45" s="2" t="n"/>
      <c r="M45" s="2" t="n"/>
      <c r="N45" s="2" t="n"/>
      <c r="O45" s="2" t="n"/>
    </row>
    <row r="46" ht="15.75" customHeight="1" s="15">
      <c r="A46" s="6" t="n">
        <v>46283</v>
      </c>
      <c r="B46" s="11" t="inlineStr">
        <is>
          <t>NX</t>
        </is>
      </c>
      <c r="C46" s="11" t="inlineStr">
        <is>
          <t>NX-4</t>
        </is>
      </c>
      <c r="D46" s="11" t="n">
        <v>1.3</v>
      </c>
      <c r="E46" s="11" t="inlineStr">
        <is>
          <t>Evidencia del telefono en el backend (tramo C, parte backend): el backend no abria NADA de los dispositivos porque descifraba con la clave del simulador y no con la de BodyCamServer (mismo kid dev-2026-08); piezas por tipo de medio (foto, video, audio) con varias por incidente, el analisis de video ya no recibe fotos; file_views con lista y contenido descifrado con rangos; DeviceEvidencePanel en la pestana Media; ingesta del manifiesto del telefono (tipo, prioridad, ubicacion, coordenadas, linea de tiempo) y contrato phone-incident/1 en aeria-contracts. 277 tests</t>
        </is>
      </c>
      <c r="F46" s="11" t="inlineStr">
        <is>
          <t>sin commitear</t>
        </is>
      </c>
      <c r="G46" s="11" t="inlineStr">
        <is>
          <t>No</t>
        </is>
      </c>
      <c r="H46" s="11" t="inlineStr">
        <is>
          <t>total de 4 h indicado por el usuario; reloj de la sesion de backend 10:15:48-14:28:12 (4,21 h) mas marcas de fichero (10:58, 11:23, 12:27, 13:40) y la sesion de la app hasta 15:25; reparto por tramo estimado</t>
        </is>
      </c>
      <c r="J46" s="2" t="n"/>
      <c r="K46" s="2" t="n"/>
      <c r="L46" s="2" t="n"/>
      <c r="M46" s="2" t="n"/>
      <c r="N46" s="2" t="n"/>
      <c r="O46" s="2" t="n"/>
    </row>
    <row r="47" ht="15.75" customHeight="1" s="15">
      <c r="A47" s="6" t="n">
        <v>46283</v>
      </c>
      <c r="B47" s="11" t="inlineStr">
        <is>
          <t>AN</t>
        </is>
      </c>
      <c r="C47" s="11" t="inlineStr">
        <is>
          <t>AN-11</t>
        </is>
      </c>
      <c r="D47" s="11" t="n">
        <v>1.5</v>
      </c>
      <c r="E47" s="11" t="inlineStr">
        <is>
          <t>Conexion de la app con el backend (tramo C, parte app): alta del telefono y del agente contra el IAM real en vez de por adb (firma del PEM tal cual se envia), sesion con reto firmado al poner el PIN y token Bearer en la subida y en el SOS; media_type en cada pieza; manifiesto del incidente al cerrarlo; ubicacion real del incidente (direccion por Geocoder y coordenadas, Room v3). Verificado en el Samsung de punta a punta</t>
        </is>
      </c>
      <c r="F47" s="11" t="inlineStr">
        <is>
          <t>sin commitear</t>
        </is>
      </c>
      <c r="G47" s="11" t="inlineStr">
        <is>
          <t>No</t>
        </is>
      </c>
      <c r="H47" s="11" t="inlineStr">
        <is>
          <t>total de 4 h indicado por el usuario; reloj de la sesion de backend 10:15:48-14:28:12 (4,21 h) mas marcas de fichero (10:58, 11:23, 12:27, 13:40) y la sesion de la app hasta 15:25; reparto por tramo estimado</t>
        </is>
      </c>
      <c r="J47" s="2" t="n"/>
      <c r="K47" s="2" t="n"/>
      <c r="L47" s="2" t="n"/>
      <c r="M47" s="2" t="n"/>
      <c r="N47" s="2" t="n"/>
      <c r="O47" s="2" t="n"/>
    </row>
    <row r="48" ht="15.75" customHeight="1" s="15">
      <c r="A48" s="6" t="n">
        <v>46283</v>
      </c>
      <c r="B48" s="11" t="inlineStr">
        <is>
          <t>BC</t>
        </is>
      </c>
      <c r="C48" s="11" t="inlineStr">
        <is>
          <t>BC-11</t>
        </is>
      </c>
      <c r="D48" s="11" t="n">
        <v>1.5</v>
      </c>
      <c r="E48" s="11" t="inlineStr">
        <is>
          <t>Modo noche automatico en la bodycam W1 (peticion del usuario tras preguntar si la unidad tenia infrarrojo). Investigacion por adb: LEDs IR, filtro IR-CUT motorizado y sensor de luz ALPS presentes y sin usar por nadie, tampoco por las apps del fabricante. Sentido del motor medido con la camara (estaba documentado al reves: habria dejado el video de dia en magenta). ModoNoche: sensor con histeresis, solo con la camara en uso; descubierto y resuelto que el sensor ve el IR de sus propios LEDs (~470 lux a oscuras, entraba y salia cada 11 s): de noche se mide con el IR apagado 0,8 s cada 20 s. Blanco y negro en la grabacion (efecto MONO de Camera2) y en el SOS (observador de fotogramas de Agora). Verificado en dos videos de prueba; el SOS en monocromo queda PENDIENTE DE PROBAR</t>
        </is>
      </c>
      <c r="F48" s="11" t="inlineStr">
        <is>
          <t>sin commitear</t>
        </is>
      </c>
      <c r="G48" s="11" t="inlineStr">
        <is>
          <t>No</t>
        </is>
      </c>
      <c r="H48" s="11" t="inlineStr">
        <is>
          <t>marcas de fichero y reloj de sesion 15:21-16:42 (1,35 h medidas), redondeado al alza a 1,5 h</t>
        </is>
      </c>
      <c r="J48" s="2" t="n"/>
      <c r="K48" s="2" t="n"/>
      <c r="L48" s="2" t="n"/>
      <c r="M48" s="2" t="n"/>
      <c r="N48" s="2" t="n"/>
      <c r="O48" s="2" t="n"/>
    </row>
    <row r="49" ht="15.75" customHeight="1" s="15">
      <c r="A49" s="6" t="n">
        <v>46285</v>
      </c>
      <c r="B49" s="11" t="inlineStr">
        <is>
          <t>BC</t>
        </is>
      </c>
      <c r="C49" s="11" t="inlineStr">
        <is>
          <t>BC-12</t>
        </is>
      </c>
      <c r="D49" s="11" t="n">
        <v>1.5</v>
      </c>
      <c r="E49" s="11" t="inlineStr">
        <is>
          <t>Modo kiosco de la unidad (device owner), rama dev_device_owner. La app pasa a ser propietaria del aparato: anclaje de pantalla solo para nuestro paquete, barra de estado desactivada, la app como lanzador, apps del fabricante escondidas y restricciones (sin reset de fabrica, sin modo seguro, sin cambiar la hora). Dos reglas fijas: adb NUNCA se corta (las politicas fuerzan ADB_ENABLED y se deja fuera DISALLOW_INSTALL_APPS, que bloquearia adb install) y siempre hay salida sin borrar (clearDeviceOwnerApp). De regalo: arranque automatico real siendo lanzador, setTime para las 6 h de desfase y permisos concedidos solos. Script tools/kiosco.sh con dos niveles, piloto (sin rol, reversible, recorre todas las unidades conectadas) y kiosco completo. Incluye el analisis de las tres vias posibles (kiosco, firmware a medida y ROM propia sobre AOSP) y el destripado de la APK del fabricante MCP_..._ZXA_v286 (com.smarteye.mcu): resulto ser una app de usuario firmada con clave de depuracion, lanzador mas device admin, sin lock task ni nada del rol de propietario. COMPILA, SIN PROBAR EN LA UNIDAD: no habia aparato conectado</t>
        </is>
      </c>
      <c r="F49" s="11" t="inlineStr">
        <is>
          <t>sin commitear</t>
        </is>
      </c>
      <c r="G49" s="11" t="inlineStr">
        <is>
          <t>No</t>
        </is>
      </c>
      <c r="H49" s="11" t="inlineStr">
        <is>
          <t>indicado por el usuario: 3 h para el dia; reparto por app y tarea estimado sobre ese total</t>
        </is>
      </c>
      <c r="J49" s="2" t="n"/>
      <c r="K49" s="2" t="n"/>
      <c r="L49" s="2" t="n"/>
      <c r="M49" s="2" t="n"/>
      <c r="N49" s="2" t="n"/>
      <c r="O49" s="2" t="n"/>
    </row>
    <row r="50" ht="15.75" customHeight="1" s="15">
      <c r="A50" s="6" t="n">
        <v>46285</v>
      </c>
      <c r="B50" s="11" t="inlineStr">
        <is>
          <t>BC</t>
        </is>
      </c>
      <c r="C50" s="11" t="inlineStr">
        <is>
          <t>BC-13</t>
        </is>
      </c>
      <c r="D50" s="11" t="n">
        <v>0.5</v>
      </c>
      <c r="E50" s="11" t="inlineStr">
        <is>
          <t>Cancelar la subida de un incidente, lado bodycam. Diagnostico de por que INC_000032 se subia una y otra vez: resumePending reencola en cada arranque y en cada apertura de la app todo incidente sin recibo de entrega, y el reintento no se rinde nunca por diseno. UploadCancel marca el incidente con un fichero dentro de su propio directorio (sobrevive a reinstalar y viaja con el incidente), ChunkedUploader corta ENTRE bloques (nunca a mitad de un PATCH) y mira la cancelacion en rodajas de 500 ms durante la espera entre reintentos. Cancelar NO borra el video: lo saca de la cola y se puede reencolar sin repetir un byte. Comandos BT UPLOAD_LIST, UPLOAD_CANCEL y UPLOAD_RESUME, mas atajo por adb. COMPILA, SIN PROBAR EN LA UNIDAD</t>
        </is>
      </c>
      <c r="F50" s="11" t="inlineStr">
        <is>
          <t>sin commitear</t>
        </is>
      </c>
      <c r="G50" s="11" t="inlineStr">
        <is>
          <t>No</t>
        </is>
      </c>
      <c r="H50" s="11" t="inlineStr">
        <is>
          <t>indicado por el usuario: 3 h para el dia; reparto por app y tarea estimado sobre ese total</t>
        </is>
      </c>
      <c r="J50" s="2" t="n"/>
      <c r="K50" s="2" t="n"/>
      <c r="L50" s="2" t="n"/>
      <c r="M50" s="2" t="n"/>
      <c r="N50" s="2" t="n"/>
      <c r="O50" s="2" t="n"/>
    </row>
    <row r="51" ht="15.75" customHeight="1" s="15">
      <c r="A51" s="6" t="n">
        <v>46285</v>
      </c>
      <c r="B51" s="11" t="inlineStr">
        <is>
          <t>AN</t>
        </is>
      </c>
      <c r="C51" s="11" t="inlineStr">
        <is>
          <t>AN-12</t>
        </is>
      </c>
      <c r="D51" s="11" t="n">
        <v>1</v>
      </c>
      <c r="E51" s="11" t="inlineStr">
        <is>
          <t>Pantalla de subidas de la bodycam en el movil. El telefono es el unico sitio con pantalla para ver la lista y decidir: la de la unidad mide 3 cm. Modelo SubidaDeEvidencia y flujo subidas en BodycamRepository (la lista llega en la linea UPLOADS y NO viaja en el STATUS de cada 5 s, que puede tener decenas de incidentes y no cambia sola), pantalla con tres estados DELIVERED / PENDING / CANCELLED, boton CANCEL con dialogo de confirmacion y QUEUE AGAIN para devolver a la cola, y ruta bodycam/uploads con boton UPLOADS en el controlador. El dialogo dice expresamente que el video se queda en la camara: si diera a entender que borra, nadie lo usaria. COMPILA, SIN PROBAR CON APARATOS</t>
        </is>
      </c>
      <c r="F51" s="11" t="inlineStr">
        <is>
          <t>sin commitear</t>
        </is>
      </c>
      <c r="G51" s="11" t="inlineStr">
        <is>
          <t>No</t>
        </is>
      </c>
      <c r="H51" s="11" t="inlineStr">
        <is>
          <t>indicado por el usuario: 3 h para el dia; reparto por app y tarea estimado sobre ese total</t>
        </is>
      </c>
      <c r="J51" s="2" t="n"/>
      <c r="K51" s="2" t="n"/>
      <c r="L51" s="2" t="n"/>
      <c r="M51" s="2" t="n"/>
      <c r="N51" s="2" t="n"/>
      <c r="O51" s="2" t="n"/>
    </row>
    <row r="52" ht="15.75" customHeight="1" s="15">
      <c r="A52" s="6" t="n">
        <v>46286</v>
      </c>
      <c r="B52" s="11" t="inlineStr">
        <is>
          <t>BC</t>
        </is>
      </c>
      <c r="C52" s="11" t="inlineStr">
        <is>
          <t>BC-11</t>
        </is>
      </c>
      <c r="D52" s="11" t="n">
        <v>1.5</v>
      </c>
      <c r="E52" s="11" t="inlineStr">
        <is>
          <t>Infrarrojos que no se apagaban y pantalla girada al abrir la app (los dos, observados por el usuario en la unidad). IR: los LEDs estaban atados al anillo armado, no a la grabacion, y como abrir la app arma el anillo para toda la guardia, a oscuras se quedaban encendidos para siempre; ahora solo alumbran grabando o emitiendo, con una entrada unica (sincronizarIr) colgada de los cambios de estado de captura y de emision para que se apaguen en la misma parada y no hasta 20 s despues. Arregladas ademas dos formas de dejarlos encendidos en sysfs sin nadie que los bajara: el irOn de un ciclo a medias pisando al irOff del cierre del servicio, y el parpadeo de medir, que ahora solo se paga cuando los LEDs estan dando luz. El filtro IR-CUT y el monocromo siguen atados al modo noche entero para no mover el motor en cada arranque y parada: el pre-roll nocturno queda sin LEDs, pendiente de validar con el cliente. PANTALLA: el giro de la unidad (-90 grados) lo aplicaba solo el overlay de RecordingActivity; MainActivity dibujaba el mismo ControlPanel sin girar, asi que el panel salia tumbado al abrir la app hasta que la pantalla de grabacion se ponia encima. Rotated pasa a compartirse y MainActivity se fija a landscape como RecordingActivity, que si no el mismo giro deja cada pantalla mirando a un lado. APAGADO DE LA UNIDAD (sesion de la noche, el mismo fallo por tercera via): apagar la bodycam grabando dejaba los infrarrojos encendidos, alumbrando con el aparato apagado, porque lo escrito en sysfs lo mantiene el kernel y sobrevive al proceso, y el apagado no pasa por ningun onDestroy. ApagadoReceiver escucha ACTION_SHUTDOWN y ACTION_REBOOT (registrado en codigo: con targetSdk 28 un receiver de apagado en el manifest no recibe nada) y apaga infrarrojo, LED, linterna, sensor y filtro en una sola llamada al shell; segundo veto en LedSignals para que el refresh de un cambio de estado no vuelva a encender el LED por detras, y BootReceiver como red del corte seco de bateria, que no emite ningun broadcast. Medido en la unidad: coste del apagado 4113 -&gt; 2069 ms, de los que 2070 son el motor del filtro IR-CUT (las luces, 27-44 ms), asi que el filtro va el ultimo de la lista. PROBADO EN LA UNIDAD: infrarrojo encendido 1441 lux, apagado 0, y el usuario confirmo el apagado real con el boton.</t>
        </is>
      </c>
      <c r="F52" s="11" t="inlineStr">
        <is>
          <t>sin commitear</t>
        </is>
      </c>
      <c r="G52" s="11" t="inlineStr">
        <is>
          <t>No</t>
        </is>
      </c>
      <c r="H52" s="11" t="inlineStr">
        <is>
          <t>indicado por el usuario: 1,5 h, sesion imputada al 21-sep a las 21:00 (1 h de la primera sesion mas 0,5 h de la de la noche)</t>
        </is>
      </c>
      <c r="J52" s="2" t="n"/>
      <c r="K52" s="2" t="n"/>
      <c r="L52" s="2" t="n"/>
      <c r="M52" s="2" t="n"/>
      <c r="N52" s="2" t="n"/>
      <c r="O52" s="2" t="n"/>
    </row>
    <row r="53" ht="15.75" customHeight="1" s="15">
      <c r="A53" s="6" t="n">
        <v>46287</v>
      </c>
      <c r="B53" s="11" t="inlineStr">
        <is>
          <t>BC</t>
        </is>
      </c>
      <c r="C53" s="11" t="inlineStr">
        <is>
          <t>BC-14</t>
        </is>
      </c>
      <c r="D53" s="11" t="n">
        <v>1.5</v>
      </c>
      <c r="E53" s="11" t="inlineStr">
        <is>
          <t>LED de estado como indicador de bateria: el LED de la unidad sigue diciendo si graba y, cuando no graba ni emite, dice la carga (verde &gt;=80, azul 40-79, rojo por debajo), con la bateria baja imponiendose al estado. Umbrales y prioridades decididos con el cliente. Incluye el nivel de bateria cacheado desde ACTION_BATTERY_CHANGED y una sola lectura del porcentaje compartida con el STATUS que lee el telefono.</t>
        </is>
      </c>
      <c r="F53" s="11" t="inlineStr">
        <is>
          <t>sin commitear</t>
        </is>
      </c>
      <c r="G53" s="11" t="inlineStr">
        <is>
          <t>No</t>
        </is>
      </c>
      <c r="H53" s="11" t="inlineStr">
        <is>
          <t>las indico el usuario</t>
        </is>
      </c>
      <c r="J53" s="2" t="n"/>
      <c r="K53" s="2" t="n"/>
      <c r="L53" s="2" t="n"/>
      <c r="M53" s="2" t="n"/>
      <c r="N53" s="2" t="n"/>
      <c r="O53" s="2" t="n"/>
    </row>
    <row r="54" ht="15.75" customHeight="1" s="15">
      <c r="A54" s="16" t="n"/>
      <c r="B54" s="17" t="n"/>
      <c r="C54" s="17" t="n"/>
      <c r="D54" s="17" t="n"/>
      <c r="E54" s="17" t="inlineStr">
        <is>
          <t>[ANULADO] 24-sep · BC · BC-15 · 3 h — Asistente de instalacion y perfil de dispositivo: la bodycam de produccion sera de otro fabricante y no la tendremos. La app aprende SOS, GRABAR y PTT pulsandolos (broadcast del fabricante, accesibilidad o la propia pantalla; una sola via por boton), comprueba cada boton con la pantalla apagada y prueba el infrarrojo con el sensor de luz. Las rutas sysfs del hardware salen del perfil; la W1 se reconoce sola. Quitado el F3-&gt;IR / F4-&gt;linterna del servicio de accesibilidad, que chocaba con SOS y grabar</t>
        </is>
      </c>
      <c r="F54" s="17" t="inlineStr">
        <is>
          <t>cb6a247</t>
        </is>
      </c>
      <c r="G54" s="17" t="inlineStr">
        <is>
          <t>Anulado</t>
        </is>
      </c>
      <c r="H54" s="17" t="inlineStr">
        <is>
          <t>ANULADO por el usuario el 28-sep: no se contabiliza. Origen original: indicado por el usuario, 3 h</t>
        </is>
      </c>
      <c r="J54" s="2" t="n"/>
      <c r="K54" s="2" t="n"/>
      <c r="L54" s="2" t="n"/>
      <c r="M54" s="2" t="n"/>
      <c r="N54" s="2" t="n"/>
      <c r="O54" s="2" t="n"/>
    </row>
    <row r="55" ht="15.75" customHeight="1" s="15">
      <c r="A55" s="6" t="n">
        <v>46293</v>
      </c>
      <c r="B55" s="11" t="inlineStr">
        <is>
          <t>BC</t>
        </is>
      </c>
      <c r="C55" s="11" t="inlineStr">
        <is>
          <t>BC-7</t>
        </is>
      </c>
      <c r="D55" s="11" t="n">
        <v>0.5</v>
      </c>
      <c r="E55" s="11" t="inlineStr">
        <is>
          <t>Workflow 31 v2, canal Bluetooth cifrado (lado bodycam): emparejamiento AERIA-BWC-2 con clave ECDH efimera P-256 firmada dentro de la transcripcion, y todo lo que sigue a AUTH_OK como AES-256-GCM por linea (una clave por sentido con HKDF, contador implicito como IV, un fallo corta). Modo transicion por decision del usuario: sigue aceptando v1 y comandos en claro (EXIGIR_CANAL_CIFRADO=false), pero el TOKEN de la sesion ya solo por canal cifrado. Sin probar en la W1: las anclas no casan con las CA del backend</t>
        </is>
      </c>
      <c r="F55" s="11" t="inlineStr">
        <is>
          <t>sin commitear</t>
        </is>
      </c>
      <c r="G55" s="11" t="inlineStr">
        <is>
          <t>No</t>
        </is>
      </c>
      <c r="H55" s="11" t="inlineStr">
        <is>
          <t>indicado por el usuario: 1 h para el workflow 31; reparto 0,5 / 0,5 por app estimado</t>
        </is>
      </c>
      <c r="J55" s="2" t="n"/>
      <c r="K55" s="2" t="n"/>
      <c r="L55" s="2" t="n"/>
      <c r="M55" s="2" t="n"/>
      <c r="N55" s="2" t="n"/>
      <c r="O55" s="2" t="n"/>
    </row>
    <row r="56" ht="15.75" customHeight="1" s="15">
      <c r="A56" s="6" t="n">
        <v>46293</v>
      </c>
      <c r="B56" s="11" t="inlineStr">
        <is>
          <t>AN</t>
        </is>
      </c>
      <c r="C56" s="11" t="inlineStr">
        <is>
          <t>AN-3</t>
        </is>
      </c>
      <c r="D56" s="11" t="n">
        <v>0.5</v>
      </c>
      <c r="E56" s="11" t="inlineStr">
        <is>
          <t>Workflow 31 v2, canal Bluetooth cifrado (lado telefono): el telefono solo habla v2, instala el canal antes de marcar el enlace (el token no sale en claro) y encola los comandos mientras empareja. CanalCifrado.kt identico en las dos apps. 7 pruebas JVM nuevas (intermediario que cambia la clave, bodycam sin clave, trama repetida, reflejada y manipulada, canal en los dos sentidos, transcripcion v1 intacta): 13/13 pasan</t>
        </is>
      </c>
      <c r="F56" s="11" t="inlineStr">
        <is>
          <t>sin commitear</t>
        </is>
      </c>
      <c r="G56" s="11" t="inlineStr">
        <is>
          <t>No</t>
        </is>
      </c>
      <c r="H56" s="11" t="inlineStr">
        <is>
          <t>indicado por el usuario: 1 h para el workflow 31; reparto 0,5 / 0,5 por app estimado</t>
        </is>
      </c>
      <c r="J56" s="2" t="n"/>
      <c r="K56" s="2" t="n"/>
      <c r="L56" s="2" t="n"/>
      <c r="M56" s="2" t="n"/>
      <c r="N56" s="2" t="n"/>
      <c r="O56" s="2" t="n"/>
    </row>
    <row r="57" ht="15.75" customHeight="1" s="15">
      <c r="A57" s="6" t="n"/>
      <c r="B57" s="11" t="n"/>
      <c r="C57" s="11" t="n"/>
      <c r="D57" s="11" t="n"/>
      <c r="E57" s="11" t="n"/>
      <c r="F57" s="11" t="n"/>
      <c r="G57" s="11" t="n"/>
      <c r="H57" s="11" t="n"/>
      <c r="J57" s="2" t="n"/>
      <c r="K57" s="2" t="n"/>
      <c r="L57" s="2" t="n"/>
      <c r="M57" s="2" t="n"/>
      <c r="N57" s="2" t="n"/>
      <c r="O57" s="2" t="n"/>
    </row>
    <row r="58" ht="15.75" customHeight="1" s="15">
      <c r="A58" s="6" t="n"/>
      <c r="B58" s="11" t="n"/>
      <c r="C58" s="11" t="n"/>
      <c r="D58" s="11" t="n"/>
      <c r="E58" s="11" t="n"/>
      <c r="F58" s="11" t="n"/>
      <c r="G58" s="11" t="n"/>
      <c r="H58" s="11" t="n"/>
      <c r="J58" s="2" t="n"/>
      <c r="K58" s="2" t="n"/>
      <c r="L58" s="2" t="n"/>
      <c r="M58" s="2" t="n"/>
      <c r="N58" s="2" t="n"/>
      <c r="O58" s="2" t="n"/>
    </row>
    <row r="59" ht="15.75" customHeight="1" s="15">
      <c r="A59" s="6" t="n"/>
      <c r="B59" s="11" t="n"/>
      <c r="C59" s="11" t="n"/>
      <c r="D59" s="11" t="n"/>
      <c r="E59" s="11" t="n"/>
      <c r="F59" s="11" t="n"/>
      <c r="G59" s="11" t="n"/>
      <c r="H59" s="11" t="n"/>
      <c r="J59" s="2" t="n"/>
      <c r="K59" s="2" t="n"/>
      <c r="L59" s="2" t="n"/>
      <c r="M59" s="2" t="n"/>
      <c r="N59" s="2" t="n"/>
      <c r="O59" s="2" t="n"/>
    </row>
    <row r="60" ht="15.75" customHeight="1" s="15">
      <c r="A60" s="6" t="n"/>
      <c r="B60" s="11" t="n"/>
      <c r="C60" s="11" t="n"/>
      <c r="D60" s="11" t="n"/>
      <c r="E60" s="11" t="n"/>
      <c r="F60" s="11" t="n"/>
      <c r="G60" s="11" t="n"/>
      <c r="H60" s="11" t="n"/>
      <c r="J60" s="2" t="n"/>
      <c r="K60" s="2" t="n"/>
      <c r="L60" s="2" t="n"/>
      <c r="M60" s="2" t="n"/>
      <c r="N60" s="2" t="n"/>
      <c r="O60" s="2" t="n"/>
    </row>
    <row r="61" ht="15.75" customHeight="1" s="15">
      <c r="A61" s="6" t="n"/>
      <c r="B61" s="11" t="n"/>
      <c r="C61" s="11" t="n"/>
      <c r="D61" s="11" t="n"/>
      <c r="E61" s="11" t="n"/>
      <c r="F61" s="11" t="n"/>
      <c r="G61" s="11" t="n"/>
      <c r="H61" s="11" t="n"/>
      <c r="J61" s="2" t="n"/>
      <c r="K61" s="2" t="n"/>
      <c r="L61" s="2" t="n"/>
      <c r="M61" s="2" t="n"/>
      <c r="N61" s="2" t="n"/>
      <c r="O61" s="2" t="n"/>
    </row>
    <row r="62" ht="15.75" customHeight="1" s="15">
      <c r="A62" s="6" t="n"/>
      <c r="B62" s="11" t="n"/>
      <c r="C62" s="11" t="n"/>
      <c r="D62" s="11" t="n"/>
      <c r="E62" s="11" t="n"/>
      <c r="F62" s="11" t="n"/>
      <c r="G62" s="11" t="n"/>
      <c r="H62" s="11" t="n"/>
      <c r="J62" s="2" t="n"/>
      <c r="K62" s="2" t="n"/>
      <c r="L62" s="2" t="n"/>
      <c r="M62" s="2" t="n"/>
      <c r="N62" s="2" t="n"/>
      <c r="O62" s="2" t="n"/>
    </row>
    <row r="63" ht="15.75" customHeight="1" s="15">
      <c r="A63" s="6" t="n"/>
      <c r="B63" s="11" t="n"/>
      <c r="C63" s="11" t="n"/>
      <c r="D63" s="11" t="n"/>
      <c r="E63" s="11" t="n"/>
      <c r="F63" s="11" t="n"/>
      <c r="G63" s="11" t="n"/>
      <c r="H63" s="11" t="n"/>
      <c r="J63" s="2" t="n"/>
      <c r="K63" s="2" t="n"/>
      <c r="L63" s="2" t="n"/>
      <c r="M63" s="2" t="n"/>
      <c r="N63" s="2" t="n"/>
      <c r="O63" s="2" t="n"/>
    </row>
    <row r="64" ht="15.75" customHeight="1" s="15">
      <c r="A64" s="6" t="n"/>
      <c r="B64" s="11" t="n"/>
      <c r="C64" s="11" t="n"/>
      <c r="D64" s="11" t="n"/>
      <c r="E64" s="11" t="n"/>
      <c r="F64" s="11" t="n"/>
      <c r="G64" s="11" t="n"/>
      <c r="H64" s="11" t="n"/>
      <c r="J64" s="2" t="n"/>
      <c r="K64" s="2" t="n"/>
      <c r="L64" s="2" t="n"/>
      <c r="M64" s="2" t="n"/>
      <c r="N64" s="2" t="n"/>
      <c r="O64" s="2" t="n"/>
    </row>
    <row r="65" ht="15.75" customHeight="1" s="15">
      <c r="A65" s="6" t="n"/>
      <c r="B65" s="11" t="n"/>
      <c r="C65" s="11" t="n"/>
      <c r="D65" s="11" t="n"/>
      <c r="E65" s="11" t="n"/>
      <c r="F65" s="11" t="n"/>
      <c r="G65" s="11" t="n"/>
      <c r="H65" s="11" t="n"/>
      <c r="J65" s="2" t="n"/>
      <c r="K65" s="2" t="n"/>
      <c r="L65" s="2" t="n"/>
      <c r="M65" s="2" t="n"/>
      <c r="N65" s="2" t="n"/>
      <c r="O65" s="2" t="n"/>
    </row>
    <row r="66" ht="15.75" customHeight="1" s="15">
      <c r="A66" s="2" t="n"/>
      <c r="B66" s="2" t="n"/>
      <c r="C66" s="10" t="inlineStr">
        <is>
          <t>TOTAL HORAS</t>
        </is>
      </c>
      <c r="D66" s="10">
        <f>SUM($D$4:$D$65)</f>
        <v/>
      </c>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57.75" customHeight="1" s="15">
      <c r="A68" s="14" t="inlineStr">
        <is>
          <t>AN-2 = identidad, credencial, PIN y sesión (workflows 12, 3, 4, 27). AN-3 y BC-7 = emparejamiento y atadura con la bodycam (13, 31, 33, 34). AN-4 y BC-8 = PTT por Agora (voz de la bodycam a todos los teléfonos, y PTT propio del teléfono). AN-5 = gafas BleeqUp (enlace BT y análisis de viabilidad).   ORIGEN DE LAS HORAS: las del 4, el 6 y el 8 de septiembre salen del reloj de sesión o de marcas de fichero; el reparto por tarea dentro del 6 y el reparto por app del 8 son estimaciones sobre un total medido. La fila del 3 de septiembre está ESTIMADA y hay que confirmarla antes de facturar. El 8 de septiembre no cuenta el hueco 16:39-17:40. Las cuatro filas de desarrollo del 9 de septiembre salen de las marcas de fichero de la sesion (08:41-12:21, 3,7 h medidas) y su reparto por tarea es una estimacion; la hora de reunion de ese dia la indico el usuario y va sin bloque, como las reuniones de agosto. La fila de la tarde del 9 (gafas, 1,3 h) sale del reloj de sesion 21:05-22:25. Las 3 h del 7 de septiembre las indicó el usuario; las marcas de fichero de ese día van de 21:05 a 23:02.   LÍNEAS DE CÓDIGO: líneas .kt añadidas en el mes, medidas con git (commits del 4, 6, 8 y 9, mas el armazon de las gafas y la integracion del SDK del 9, ambos sin commitear; más el armazón de las gafas del 9, todavía sin commitear).   11 DE SEPTIEMBRE: AN-6 y BC-9 = video original a 1080p sin recodificar, proxy de 720p/15 para el LLM del backend y aviso del SOS para Agora Cloud Recording. Las dos filas salen del reloj de sesion 14:26-16:30 (2,1 h medidas) redondeado al alza a 3 h por indicacion del usuario; el reparto 1,8 AN / 1,2 BC es estimacion. Lineas del 11, sin commitear: 462 en BC medidas con git y ficheros nuevos; unas 1.169 en AN, de ellas ~80 estimadas en tres ficheros que ya traian cambios de antes.   12 DE SEPTIEMBRE: AN-5 = mando a distancia de las gafas (grabar, parar y foto por BLE). Las 3 h las indico el usuario. Lineas del 12, sin commitear: 975 anadidas medidas con git, de las cuales unas 110 no son codigo nuevo sino movido de otros ficheros (el puente del SDK sale de GafasApPrueba y el boton de accion sale del controlador de la bodycam), asi que lo genuinamente nuevo son unas 865.   REGLA DE REDONDEO (desde el 13-sep, indicada por el usuario): las horas se redondean SIEMPRE AL ALZA al medio punto. 2,7 medidas se imputan como 3; 2,1 como 2,5; 2,5 se queda en 2,5. Las filas anteriores al 13-sep se dejan como estaban.   TARDE DEL 9 DE SEPTIEMBRE (anadida el 13-sep): AN-7 = boveda, categorizacion de evidencia en bruto de los perifericos. Esta sesion NO estaba en el libro: las cuatro filas de desarrollo del 9 salen de las marcas 08:41-12:21 y la de las gafas del reloj 21:05-22:25, y esta cae en medio. Las marcas de fichero la situan entre 13:13 y 15:57 (2,7 h medidas), redondeadas al alza a 3 h. Fue a parar al commit 22768a9, que arrastra tambien el trabajo del 11. Lineas: 476 anadidas medidas con git en los cuatro ficheros que son solo de esta sesion (RawEvidenceEntities, RawEvidenceRepository, CategorizeDialog e IncidentDao). Hay otras 325 en IncidentRepository, IncidentDatabase, VaultScreen y VaultViewModel que NO se suman aqui porque podrian estar ya contadas en las filas del 11.   13 DE SEPTIEMBRE: AN-8 = rele de la bodycam a las gafas FalconOne, mas repaso de interfaz. El oficial pulsa grabar o el SOS del pecho y las gafas graban solas; el telefono hace de puente porque las gafas solo entienden el SDK del fabricante, que corre en Android. Incluye canal BLE permanente, estado de grabacion honesto, aviso de video pendiente, descarga por WiFi hasta la boveda cifrada, aviso sonoro si un SOS se queda sin gafas, textos en ingles, barra superior unificada con el patron de Android, renombrado a FalconOne y arreglos de la revision (boveda que reventaba al abrirse, nombres de fichero que se pisaban, excepcion de API 28 con minSdk 26 y descarga colgada al caerse el WiFi). Verificado contra el hardware el mismo dia. Las horas salen de marcas de fichero 15:13-23:25 (8,2 h medidas) redondeadas al alza a 8,5 h segun la regla de redondeo; NO se cuenta el analisis inicial de esta propia tabla, que fue antes de la primera marca. Lineas del 13: 2.882 anadidas medidas con git sobre los cinco commits del dia; de ellas 527 son sondas de depuracion que NO van a release.   14 DE SEPTIEMBRE: AN-9 y BC-10 = enlace con la bodycam sin MAC compilada (seleccion desde la app y unidad visible 5 min al arrancar) y uid de Agora propio por bodycam. BC-8 (PTT) = medicion de la unidad escuchando el canal. Las horas salen del reloj de sesion 19:36-19:52 y 21:53-23:50 (2,2 h medidas), redondeadas al alza a 2,5 h; el reparto 1,3 AN / 0,6 + 0,6 BC es estimacion. NO se cuenta el hueco 19:52-21:34, en el que la sesion esperaba el resultado de una prueba en el Redmi y la maquina se reinicio. Lineas del 14, sin commitear, medidas con git: 638 en AN (44 de ellas de prueba JVM) y 291 en BC, de las cuales 180 son la sonda de depuracion que NO va a release.   15 DE SEPTIEMBRE: AN-4 y BC-8 (PTT). BC-8 = la bodycam escucha el canal todo el tiempo para que el PTT de los telefonos suene por su altavoz (punto 1 de los requisitos del 14-sep). AN-4 = boton de PTT del telefono de un toque, y diagnostico de que Nexus no vuelve al canal tras perder la conexion (documentado, sin arreglar). Las horas salen del reloj de sesion 12:28-13:07 (0,65 h medidas), redondeadas al alza a 1 h; el reparto 0,5 / 0,5 es estimacion sobre las marcas de fichero (BodyCamServer 12:34-12:49, Nexus 12:59-13:04). Lineas del 15, sin commitear, medidas con git: 308 anadidas en BC (de ellas 279 en LivestreamService, reescrito: salen tambien 216) y 22 en AN.   15 DE SEPTIEMBRE, TARDE: AN-4 = reconexion al canal de Agora (el telefono se quedaba fuera sin avisar). AN-2 = revision del IAM y workflows 5 (cambio de PIN) y 30 (fin de turno). AN-10 (bloque nuevo) = auditoria local, workflows 61 y 46. Las horas salen del reloj de sesion 13:34-14:05 y 14:22-15:06 (1,25 h medidas), redondeadas al alza a 1,5 h; el reparto 0,3 / 0,6 / 0,6 es estimacion sobre la hora de cada peticion. NO se cuentan 13:20-13:34, que fue anotar en esta tabla las horas de la manana, ni 14:05-14:22, espera a que se desbloqueara el telefono de pruebas. Lineas .kt: 176 de la reconexion (commit 49d8c20, sin las 22 del boton de PTT ya contadas en la fila 33); unas 529 de los wf 5 y 30 y unas 903 de los wf 61 y 46, de ellas 96 de pruebas JVM, sin commitear; el reparto entre bloques de los ficheros compartidos (IdentityRepository, ProfileScreen, AppNavHost, AppContainer) es estimacion.   15 DE SEPTIEMBRE, FINAL DE LA TARDE: AN-5 (gafas) = selector de gafas sin MAC compilada, y arreglo de la conexion en Android 11 (el SDK del fabricante comprobaba un permiso que en esa version no existe). Las 2 h las indico el usuario; la sesion registra 0,85 h activas (15:06-15:27, 16:03-16:26 y 16:41-16:48) y los huecos 15:27-16:03 y 16:26-16:41 fueron del usuario con la release del manager y las pruebas en el Redmi. Reparto 1 / 1 estimado. Lineas .kt sin commitear, medidas con git: 378 (unas 343 del selector y unas 35 del arreglo de Android 11).   15 DE SEPTIEMBRE, NOCHE: AN-4 (PTT) = aviso de PTT pisado, con tono de tres pitidos y boton ambar cuando dos agentes hablan a la vez. La hora la indico el usuario. Lineas .kt sin commitear, medidas con git: 126 en AN (19 del atajo de debug) y 11 en BC (el tono gemelo en PttTones).   RANGO DE FORMULAS: ampliado el 14-sep de la fila 29 a la 33 y el 15-sep a la 43; el total esta en la fila 44 y esta leyenda en la 46. El 18-sep se amplio a la 55: total en la 56 y esta leyenda en la 58. Libres las filas 49-55. Al volver a ampliar, cambiar $55 en D56 y en K8, L5-L8 y N5-N7.   16 Y 17 DE SEPTIEMBRE, BACKEND (aplicacion NX, nueva): NX es el tercer repositorio, aeria-nexus, que hasta hoy no estaba en este libro aunque llevaba dos dias de trabajo. Django 5 + DRF + Celery y el panel Next.js, mas el repositorio de contratos aeria-contracts, que se imputa aqui porque nacio dentro de estas mismas sesiones. NX-1 = contratos, simulador de cliente, costuras de portabilidad e identidad F1-F6. NX-2 = ingesta de evidencia por tus y enlace de la subida con el analisis. NX-3 = coste medido, arreglos y puesta a punto para la demostracion al manager.   ORIGEN DE LAS HORAS DEL BACKEND: las dos filas del 16 salen de las marcas de los commits, 15:32 (primer commit de contratos) a 23:42 (ultimo del backend), 8,15 h medidas; el corte entre NX-1 y NX-2 es el commit de las 18:47, que cierra identidad. Cada tramo se redondea al alza al medio punto por separado (3,25-&gt;3,5 y 4,9-&gt;5), asi que la suma imputada del dia es 8,5. NO se cuenta nada anterior al primer commit. Las 2,5 h del 17 las indico el usuario: esa sesion no dejo commits, se prolongo pasada la medianoche y se imputa entera al 17.   LINEAS DE CODIGO DEL BACKEND: 10.475, medidas con git y contando solo codigo (.py, .ts, .tsx). Del 16 son 9.871 en diez commits; del 17, 604 sin commitear (469 de cuatro ficheros nuevos y 135 de modificaciones). NO se cuentan 2.210 lineas de documentacion en Markdown de los dos dias, ni las 1.028 del simulador de cliente y 456 del OpenAPI que viven en aeria-contracts, aunque se escribieran en estas sesiones: quedan anotadas aqui por si se decide sumarlas.   18 DE SEPTIEMBRE: NX-4 (bloque nuevo) = evidencia del telefono en el backend y el panel. AN-11 (bloque nuevo) = conexion de la app con el backend (IAM real, sesion, subida autenticada, manifiesto y ubicacion). NX-1 y NX-3 se reutilizan para el acceso al panel y los arreglos del panel de la manana.   ORIGEN DE LAS HORAS DEL 18: el total de 4 h lo indico el usuario. El reloj de la sesion de backend va de 10:15:48 a 14:28:12 (4,21 h) y la sesion de la app siguio hasta las 15:25; las marcas de fichero (10:58, 11:23, 12:27, 13:40) lo corroboran. El reparto 0,8 / 0,4 / 1,3 / 1,5 entre los tramos A, B y C (backend y app) es estimacion sobre ese total.   LINEAS DEL 18, sin commitear: NX 833 medidas con git sin documentacion (tramo A +209, B +105 y C +519); AN 933 (511 en ficheros existentes y 422 en nuevos). NO se cuentan las 121 lineas de documentacion de aeria-contracts.   18 DE SEPTIEMBRE, BODYCAM: BC-11 (bloque nuevo) = modo noche automatico de la W1 (LEDs IR, filtro IR-CUT, sensor de luz y blanco y negro en grabacion y SOS). Las horas salen de las marcas de fichero y del reloj de sesion 15:21-16:42 (1,35 h medidas), redondeadas al alza a 1,5 h; incluyen las dos pruebas en la unidad. Lineas .kt sin commitear, medidas con git: 310 en BC (253 en ModoNoche y MonocromoSos, nuevos, y 57 en modificaciones). El SOS en monocromo compila y esta instalado, pero queda pendiente de probar con la unidad.   20 DE SEPTIEMBRE: BC-12 (bloque nuevo) = modo kiosco de la unidad con device owner, en la rama dev_device_owner, mas el analisis de las tres vias de control y el destripado de la APK del fabricante. BC-13 y AN-12 (bloques nuevos) = cancelar desde el movil la subida de un incidente, que hasta hoy no se podia parar nunca. Las 3 h del dia las indico el usuario; el reparto 1,5 / 0,5 / 1 es estimacion. NADA de lo de hoy se ha probado en aparatos: no habia ni bodycam ni telefono conectados, las dos apps solo compilan. Lineas .kt sin commitear, medidas con git: 665 en BC (535 de tres ficheros nuevos, DeviceOwner, FalconDeviceAdmin y UploadCancel, y 130 de modificaciones) y 432 en AN (353 de dos ficheros nuevos y 79 de modificaciones); el reparto de las lineas de BC entre BC-12 y BC-13 es estimacion. NO se cuentan las lineas de tools/kiosco.sh ni las de los dos DEVLOG.   21 DE SEPTIEMBRE: BC-11 (modo noche, ya existente) = arreglo de los LEDs infrarrojos, que no se apagaban al parar de grabar, del giro de la pantalla de MainActivity y, en la sesion de la noche, del apagado de la unidad, que dejaba los infrarrojos encendidos con la bodycam apagada. Los tres fallos los observo el usuario en la unidad. Va en BC-11 y no en un bloque nuevo porque todo es corregir el modo noche entregado el 18-sep. DECISION DEL USUARIO: los IR se apagan al parar la grabacion, aunque el anillo siga armado; queda por validar con el cliente que el pre-roll nocturno de 20 s se grabe sin ellos. HORAS: las indico el usuario, que fijo la imputacion el 21-sep a las 21:00 y las subio de 1 a 1,5 h al cerrar la sesion de la noche; el trabajo se hizo entre la tarde del 20-sep y la madrugada del 21. PROBADO EN LA UNIDAD, a diferencia de lo que decia esta leyenda antes: con la bodycam por adb se midio el apagado (infrarrojo encendido 1441 lux, apagado 0) y el usuario confirmo el apagado real desde el boton. El ensayo hizo falta montarlo aparte porque ACTION_SHUTDOWN es un broadcast protegido que adb no puede enviar y la unidad es build user sin root. Medido de paso: la escritura del motor del filtro IR-CUT bloquea 2070 ms, frente a 27-44 ms de cada luz. Lineas .kt sin commitear, medidas con git: 107 anadidas y 20 borradas de la primera sesion, mas unas 230 anadidas (112 de ellas ApagadoReceiver, fichero nuevo) y 21 borradas de la sesion de la noche; buena parte es comentario y KDoc de por que. No se cuentan las 6 del AndroidManifest ni las de los DEVLOG.   22 DE SEPTIEMBRE: BC-14 (bloque nuevo) = el LED de estado pasa a ser tambien indicador de bateria, pedido por el cliente ese dia. No caben las dos senales en un LED y el nodo no tiene verde ni azul parpadeando, asi que el cliente decidio el reparto: el estado manda (grabando rojo parpadeo, emitiendo amarillo parpadeo) salvo por debajo del 40 %, que se impone a todo. Se sacrifica el azul de anillo armado, que solo queda en la pantalla y en el STATUS del telefono; el protocolo con el movil no cambia. PENDIENTE DE VER EN LA UNIDAD: no habia bodycam conectada, la app solo compila, y el rojo fijo usa el valor 6 del nodo, de la franja 1-6 que nunca se ha comprobado a mano. Las 1,5 h las indico el usuario. Lineas .kt sin commitear, medidas con git: 166 anadidas y 24 borradas en cuatro ficheros; buena parte es KDoc del porque del reparto de colores.   24 DE SEPTIEMBRE, ANULADO: la fila 54 (BC-15, asistente de instalacion y perfil de dispositivo, 3 h, commit cb6a247) queda TACHADA y NO se contabiliza, por decision del usuario el 28-sep: se volvio a la version estandar sin el asistente, que queda aparcado en la rama dev_install_assistant. Se vaciaron fecha, app, bloque y horas de esa fila para que las formulas no cuenten ni las horas ni el dia ni el bloque; los datos originales siguen en el texto. Las 1.402 lineas de ese commit se restaron de las del mes.   28 DE SEPTIEMBRE: BC-7 y AN-3 (emparejamiento, ya existentes) = workflow 31 v2, el canal Bluetooth entre telefono y bodycam pasa a ir cifrado (ECDH efimero firmado + AES-256-GCM por linea). Hasta hoy el token de la sesion del agente, prestado a la bodycam desde el 25-sep, viajaba en claro. Modo transicion por decision del usuario: la bodycam sigue aceptando telefonos sin cifrar mientras sus anclas no casen con las CA del backend; el token ya solo va cifrado. SIN PROBAR EN APARATOS: hoy ningun telefono se acredita ante la W1. La 1 h la indico el usuario; el reparto 0,5 / 0,5 es estimacion. Lineas .kt sin commitear, medidas con git: 326 anadidas en BC (161 de CanalCifrado, nuevo; 74 en Emparejamiento y 91 en BtServerService) y unas 426 en AN (161 de CanalCifrado, 64 en EmparejamientoBodycam, 135 de pruebas JVM y unas 66 en BodycamRepository; esta ultima es estimacion, porque el fichero lleva tambien cambios sin commitear de otra sesion).   RANGO AMPLIADO el 28-sep de la fila 55 a la 65: total en la 66 y esta leyenda en la 68. FILAS LIBRES: 57-65; al agotarlas hay que ampliar $65 en D66, K8, L5-L8 y N5-N7.</t>
        </is>
      </c>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3">
    <mergeCell ref="A68:H68"/>
    <mergeCell ref="A2:H2"/>
    <mergeCell ref="A1:H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2026-08-30T19:55:45Z</dcterms:created>
  <dcterms:modified xmlns:dcterms="http://purl.org/dc/terms/" xmlns:xsi="http://www.w3.org/2001/XMLSchema-instance" xsi:type="dcterms:W3CDTF">2026-09-27T23:06:30Z</dcterms:modified>
</cp:coreProperties>
</file>