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8">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BC-15</t>
        </is>
      </c>
      <c r="L5" s="13">
        <f>SUMPRODUCT(($B$4:$B$55="BC")/COUNTIFS($A$4:$A$55,$A$4:$A$55&amp;"",$B$4:$B$55,$B$4:$B$55&amp;""))</f>
        <v/>
      </c>
      <c r="M5" s="13" t="n">
        <v>6542</v>
      </c>
      <c r="N5" s="13">
        <f>SUMIFS($D$4:$D$55,$B$4:$B$55,"BC",$G$4:$G$55,"&lt;&gt;Sí")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t>
        </is>
      </c>
      <c r="L6" s="13">
        <f>SUMPRODUCT(($B$4:$B$55="AN")/COUNTIFS($A$4:$A$55,$A$4:$A$55&amp;"",$B$4:$B$55,$B$4:$B$55&amp;""))</f>
        <v/>
      </c>
      <c r="M6" s="13" t="n">
        <v>19128</v>
      </c>
      <c r="N6" s="13">
        <f>SUMIFS($D$4:$D$55,$B$4:$B$55,"AN",$G$4:$G$55,"&lt;&gt;Sí")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SUMPRODUCT(($B$4:$B$55="NX")/COUNTIFS($A$4:$A$55,$A$4:$A$55&amp;"",$B$4:$B$55,$B$4:$B$55&amp;""))</f>
        <v/>
      </c>
      <c r="M7" s="13" t="n">
        <v>11308</v>
      </c>
      <c r="N7" s="13">
        <f>SUMIFS($D$4:$D$55,$B$4:$B$55,"NX",$G$4:$G$55,"&lt;&gt;Sí")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SUMPRODUCT(($C$4:$C$55&lt;&gt;"")/COUNTIF($C$4:$C$55,$C$4:$C$55&amp;""))</f>
        <v/>
      </c>
      <c r="L8" s="13">
        <f>SUMPRODUCT(($A$4:$A$55&lt;&gt;"")/COUNTIF($A$4:$A$55,$A$4:$A$55&amp;""))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indicadas por el usuario;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indicado por el usuario;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indicado por el usuario;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indicado por el usuario;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indicado por el usuario;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indicado por el usuario: 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indicado por el usuario: 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indicado por el usuario: 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indicado por el usuario: 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inlineStr">
        <is>
          <t>las indico el usuario</t>
        </is>
      </c>
      <c r="J53" s="2" t="n"/>
      <c r="K53" s="2" t="n"/>
      <c r="L53" s="2" t="n"/>
      <c r="M53" s="2" t="n"/>
      <c r="N53" s="2" t="n"/>
      <c r="O53" s="2" t="n"/>
    </row>
    <row r="54" ht="15.75" customHeight="1" s="15">
      <c r="A54" s="6" t="n">
        <v>46289</v>
      </c>
      <c r="B54" s="11" t="inlineStr">
        <is>
          <t>BC</t>
        </is>
      </c>
      <c r="C54" s="11" t="inlineStr">
        <is>
          <t>BC-15</t>
        </is>
      </c>
      <c r="D54" s="11" t="n">
        <v>3</v>
      </c>
      <c r="E54" s="11" t="inlineStr">
        <is>
          <t>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1" t="inlineStr">
        <is>
          <t>cb6a247</t>
        </is>
      </c>
      <c r="G54" s="11" t="inlineStr">
        <is>
          <t>No</t>
        </is>
      </c>
      <c r="H54" s="11" t="inlineStr">
        <is>
          <t>indicado por el usuario: 3 h</t>
        </is>
      </c>
      <c r="J54" s="2" t="n"/>
      <c r="K54" s="2" t="n"/>
      <c r="L54" s="2" t="n"/>
      <c r="M54" s="2" t="n"/>
      <c r="N54" s="2" t="n"/>
      <c r="O54" s="2" t="n"/>
    </row>
    <row r="55" ht="15.75" customHeight="1" s="15">
      <c r="A55" s="6" t="n"/>
      <c r="B55" s="11" t="n"/>
      <c r="C55" s="11" t="n"/>
      <c r="D55" s="11" t="n"/>
      <c r="E55" s="11" t="n"/>
      <c r="F55" s="11" t="n"/>
      <c r="G55" s="11" t="n"/>
      <c r="H55" s="11" t="n"/>
      <c r="J55" s="2" t="n"/>
      <c r="K55" s="2" t="n"/>
      <c r="L55" s="2" t="n"/>
      <c r="M55" s="2" t="n"/>
      <c r="N55" s="2" t="n"/>
      <c r="O55" s="2" t="n"/>
    </row>
    <row r="56" ht="15.75" customHeight="1" s="15">
      <c r="A56" s="2" t="n"/>
      <c r="B56" s="2" t="n"/>
      <c r="C56" s="10" t="inlineStr">
        <is>
          <t>TOTAL HORAS</t>
        </is>
      </c>
      <c r="D56" s="10">
        <f>SUM($D$4:$D$55)</f>
        <v/>
      </c>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57.75" customHeight="1" s="15">
      <c r="A5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Las 2,5 h del 17 las indico el usuario: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de 4 h lo indico el usuario.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Las 3 h del dia las indico el usuario;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las indico el usuario, que fijo la imputacion el 21-sep a las 21:00 y las subio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Las 1,5 h las indico el usuario. Lineas .kt sin commitear, medidas con git: 166 anadidas y 24 borradas en cuatro ficheros; buena parte es KDoc del porque del reparto de colores.   24 DE SEPTIEMBRE: BC-15 (bloque nuevo) = asistente de instalacion y perfil de dispositivo. El cliente aviso de que la bodycam de produccion sera de otro fabricante y que no la tendremos para desarrollar, asi que la app deja de llevar escritos los botones y las rutas de hardware de la W1: un asistente en la propia unidad aprende SOS, GRABAR y PTT pulsandolos, comprueba si cada uno llega con la pantalla apagada y prueba el infrarrojo con el sensor de luz (o a ojo si no hay sensor). La W1 se reconoce sola y sigue funcionando como antes. De paso se quito un choque que ya existia: el servicio de accesibilidad, que activa el kiosco, encendia el IR al pulsar SOS. El protocolo con el movil no cambia. PENDIENTE DE PROBAR EN LA UNIDAD: no habia bodycam conectada, la app solo compila. Las 3 h las indico el usuario. Lineas .kt medidas con git en el commit cb6a247: 1.402 anadidas y 200 borradas (1.221 de cuatro ficheros nuevos: AsistenteActivity, BotonesFisicos, PerfilDispositivo y PruebaInfrarrojo); buena parte es KDoc del porque.   FILAS LIBRES: queda la 55; al agotarla hay que ampliar $55 en D56, K8, L5-L8 y N5-N7.</t>
        </is>
      </c>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2:H2"/>
    <mergeCell ref="A58:H58"/>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2026-09-24T15:57:55Z</dcterms:modified>
</cp:coreProperties>
</file>