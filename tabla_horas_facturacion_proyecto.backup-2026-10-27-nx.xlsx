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2026-08" sheetId="1" state="visible" r:id="rId1"/>
    <sheet name="2026-09" sheetId="2" state="visible" r:id="rId2"/>
    <sheet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 AN-16</t>
        </is>
      </c>
      <c r="L6" s="13">
        <f>SUMPRODUCT(($B$4:$B$65="AN")/COUNTIFS($A$4:$A$65,$A$4:$A$65&amp;"",$B$4:$B$65,$B$4:$B$65&amp;""))</f>
        <v/>
      </c>
      <c r="M6" s="13" t="n">
        <v>1880</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t>
        </is>
      </c>
      <c r="J7" s="13" t="inlineStr">
        <is>
          <t>aeria-nexus (backend)</t>
        </is>
      </c>
      <c r="K7" s="11" t="inlineStr">
        <is>
          <t>NX-5, NX-6, NX-7, NX-8, NX-9, NX-10, NX-11, NX-12, NX-13</t>
        </is>
      </c>
      <c r="L7" s="13">
        <f>SUMPRODUCT(($B$4:$B$65="NX")/COUNTIFS($A$4:$A$65,$A$4:$A$65&amp;"",$B$4:$B$65,$B$4:$B$65&amp;""))</f>
        <v/>
      </c>
      <c r="M7" s="13" t="n">
        <v>8213</v>
      </c>
      <c r="N7" s="13">
        <f>SUMIFS($D$4:$D$65,$B$4:$B$65,"NX",$G$4:$G$65,"&lt;&gt;Sí")</f>
        <v/>
      </c>
      <c r="O7" s="9">
        <f>N7*$K$9</f>
        <v/>
      </c>
    </row>
    <row r="8" s="15">
      <c r="A8" s="18" t="n">
        <v>46304</v>
      </c>
      <c r="B8" s="19" t="inlineStr">
        <is>
          <t>NX</t>
        </is>
      </c>
      <c r="C8" s="19" t="inlineStr">
        <is>
          <t>NX-6</t>
        </is>
      </c>
      <c r="D8" s="19" t="n">
        <v>2</v>
      </c>
      <c r="E8" s="19" t="inlineStr">
        <is>
          <t>Tres niveles de usuario y altas desde el panel (rama dev_whisper_text de aeria-nexus). superadmin / admin / user como paquetes de los siete roles IAM, que no se tocan. Endpoints /api/users/ (alta, cambio de nivel, suspension, acceso al panel con TOTP) y pantalla /users con codigo QR; el menu ensena a quien ha entrado. Arreglado el CSRF del panel: ningun POST funcionaba en el navegador. Codigos de error estables en los 401/403 (cuerpo y cabecera X-Error-Code). El backend entrega nombre, rango y placa al telefono (profile en sesion y enrolamiento). Atribucion de la evidencia a quien la grabo (officer_user_id, NOAGENT) y piezas de un incidente atadas entre telefonos distintos. Endpoints de SOS (start, heartbeat, stop), que daban 404, y sesion restringida sos_only para que el SOS de un agente suspendido llegue; sin grabacion en la nube de Agora. Coordinacion y revision de las sesiones del movil y de la bodycam contra iam-session.md; contrato en aeria-contracts (iam-session 3.1, 5.7, 5.8, 6 y 9; upload-protocol 5.1 y 5.2). Migraciones 0017 y 0018. 333 tests en verde, 53 nuevos. LA PANTALLA /users NO SE HA ABIERTO EN UN NAVEGADOR; nada probado con dispositivos reales</t>
        </is>
      </c>
      <c r="F8" s="19" t="inlineStr">
        <is>
          <t>sin commitear</t>
        </is>
      </c>
      <c r="G8" s="19" t="inlineStr">
        <is>
          <t>No</t>
        </is>
      </c>
      <c r="H8" s="19" t="inlineStr">
        <is>
          <t>2 h</t>
        </is>
      </c>
      <c r="J8" s="10" t="inlineStr">
        <is>
          <t>TOTAL DEL MES</t>
        </is>
      </c>
      <c r="K8" s="13">
        <f>SUMPRODUCT(($C$4:$C$65&lt;&gt;"")/COUNTIF($C$4:$C$65,$C$4:$C$65&amp;""))</f>
        <v/>
      </c>
      <c r="L8" s="13">
        <f>SUMPRODUCT(($A$4:$A$65&lt;&gt;"")/COUNTIF($A$4:$A$65,$A$4:$A$65&amp;""))</f>
        <v/>
      </c>
      <c r="M8" s="10">
        <f>SUM(M5:M7)</f>
        <v/>
      </c>
      <c r="N8" s="10">
        <f>SUM(N5:N7)</f>
        <v/>
      </c>
      <c r="O8" s="12">
        <f>SUM(O5:O7)</f>
        <v/>
      </c>
    </row>
    <row r="9" s="15">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v>46305</v>
      </c>
      <c r="B10" s="19" t="inlineStr">
        <is>
          <t>NX</t>
        </is>
      </c>
      <c r="C10" s="19" t="inlineStr">
        <is>
          <t>NX-6</t>
        </is>
      </c>
      <c r="D10" s="19" t="n">
        <v>0.5</v>
      </c>
      <c r="E10" s="19" t="inlineStr">
        <is>
          <t>Ajustes del alta tras la respuesta de las dos apps (rama dev_whisper_text): reintento idempotente del enrolamiento del agente, codigos en el 409 del alta de dispositivo, emparejamientos con caducidad en milisegundos y el fin de turno suelta la camara en la misma peticion</t>
        </is>
      </c>
      <c r="F10" s="19" t="inlineStr">
        <is>
          <t>7effe73, 498cd98</t>
        </is>
      </c>
      <c r="G10" s="19" t="inlineStr">
        <is>
          <t>No</t>
        </is>
      </c>
      <c r="H10" s="19" t="inlineStr">
        <is>
          <t>reloj de sesion 0,3 h</t>
        </is>
      </c>
      <c r="J10" s="2" t="n"/>
      <c r="K10" s="2" t="n"/>
      <c r="L10" s="2" t="n"/>
      <c r="M10" s="2" t="n"/>
      <c r="N10" s="2" t="n"/>
      <c r="O10" s="2" t="n"/>
    </row>
    <row r="11">
      <c r="A11" s="18" t="n">
        <v>46307</v>
      </c>
      <c r="B11" s="19" t="inlineStr">
        <is>
          <t>NX</t>
        </is>
      </c>
      <c r="C11" s="19" t="inlineStr">
        <is>
          <t>NX-6</t>
        </is>
      </c>
      <c r="D11" s="19" t="n">
        <v>1.5</v>
      </c>
      <c r="E11" s="19" t="inlineStr">
        <is>
          <t>Primera vez que el panel se abre en el navegador: boton de salir, Users visible para el superadmin, rango como desplegable obligatorio, nombre y apellidos en dos campos y cuentas personales en local</t>
        </is>
      </c>
      <c r="F11" s="19" t="inlineStr">
        <is>
          <t>d766513, f2ae93e</t>
        </is>
      </c>
      <c r="G11" s="19" t="inlineStr">
        <is>
          <t>No</t>
        </is>
      </c>
      <c r="H11" s="19" t="inlineStr">
        <is>
          <t>reloj de sesion 1,2 h</t>
        </is>
      </c>
      <c r="J11" s="2" t="n"/>
      <c r="K11" s="2" t="n"/>
      <c r="L11" s="2" t="n"/>
      <c r="M11" s="2" t="n"/>
      <c r="N11" s="2" t="n"/>
      <c r="O11" s="2" t="n"/>
    </row>
    <row r="12">
      <c r="A12" s="18" t="n">
        <v>46310</v>
      </c>
      <c r="B12" s="19" t="inlineStr">
        <is>
          <t>NX</t>
        </is>
      </c>
      <c r="C12" s="19" t="inlineStr">
        <is>
          <t>NX-7</t>
        </is>
      </c>
      <c r="D12" s="19" t="n">
        <v>0.5</v>
      </c>
      <c r="E12" s="19" t="inlineStr">
        <is>
          <t>Documento de aclaracion IAM contrastado con los Excel IAM y con las dos apps; informe de contradicciones para el manager, en espanol y en ingles (docs/)</t>
        </is>
      </c>
      <c r="F12" s="19" t="inlineStr">
        <is>
          <t>sin commitear</t>
        </is>
      </c>
      <c r="G12" s="19" t="inlineStr">
        <is>
          <t>No</t>
        </is>
      </c>
      <c r="H12" s="19" t="inlineStr">
        <is>
          <t>reloj de sesion 0,4 h</t>
        </is>
      </c>
      <c r="J12" s="2" t="n"/>
      <c r="K12" s="2" t="n"/>
      <c r="L12" s="2" t="n"/>
      <c r="M12" s="2" t="n"/>
      <c r="N12" s="2" t="n"/>
      <c r="O12" s="2" t="n"/>
    </row>
    <row r="13">
      <c r="A13" s="18" t="n">
        <v>46311</v>
      </c>
      <c r="B13" s="19" t="inlineStr">
        <is>
          <t>NX</t>
        </is>
      </c>
      <c r="C13" s="19" t="inlineStr">
        <is>
          <t>NX-8</t>
        </is>
      </c>
      <c r="D13" s="19" t="n">
        <v>1</v>
      </c>
      <c r="E13" s="19" t="inlineStr">
        <is>
          <t>Workflows del piloto en el backend: recibo de aceptacion firmado, desfase de reloj del dispositivo, rechazo de unidades revocadas o no enroladas, version minima de la app y auditoria con cadena de hashes</t>
        </is>
      </c>
      <c r="F13" s="19" t="inlineStr">
        <is>
          <t>5858d8f</t>
        </is>
      </c>
      <c r="G13" s="19" t="inlineStr">
        <is>
          <t>No</t>
        </is>
      </c>
      <c r="H13" s="19" t="inlineStr">
        <is>
          <t>reloj de sesion 1 h</t>
        </is>
      </c>
      <c r="J13" s="2" t="n"/>
      <c r="K13" s="2" t="n"/>
      <c r="L13" s="2" t="n"/>
      <c r="M13" s="2" t="n"/>
      <c r="N13" s="2" t="n"/>
      <c r="O13" s="2" t="n"/>
    </row>
    <row r="14">
      <c r="A14" s="18" t="n">
        <v>46311</v>
      </c>
      <c r="B14" s="19" t="inlineStr">
        <is>
          <t>NX</t>
        </is>
      </c>
      <c r="C14" s="19" t="inlineStr">
        <is>
          <t>NX-9</t>
        </is>
      </c>
      <c r="D14" s="19" t="n">
        <v>1</v>
      </c>
      <c r="E14" s="19" t="inlineStr">
        <is>
          <t>Seguridad: todo exige sesion por defecto (con test que recorre todas las rutas), /media cerrado, cache de evidencia en claro de vida corta, enrolamiento rechaza identidades revocadas y atribucion por binding_id</t>
        </is>
      </c>
      <c r="F14" s="19" t="inlineStr">
        <is>
          <t>a96a4ce</t>
        </is>
      </c>
      <c r="G14" s="19" t="inlineStr">
        <is>
          <t>No</t>
        </is>
      </c>
      <c r="H14" s="19" t="inlineStr">
        <is>
          <t>reloj de sesion 0,8 h</t>
        </is>
      </c>
      <c r="J14" s="2" t="n"/>
      <c r="K14" s="2" t="n"/>
      <c r="L14" s="2" t="n"/>
      <c r="M14" s="2" t="n"/>
      <c r="N14" s="2" t="n"/>
      <c r="O14" s="2" t="n"/>
    </row>
    <row r="15">
      <c r="A15" s="18" t="n">
        <v>46311</v>
      </c>
      <c r="B15" s="19" t="inlineStr">
        <is>
          <t>NX</t>
        </is>
      </c>
      <c r="C15" s="19" t="inlineStr">
        <is>
          <t>NX-10</t>
        </is>
      </c>
      <c r="D15" s="19" t="n">
        <v>1</v>
      </c>
      <c r="E15" s="19" t="inlineStr">
        <is>
          <t>Panel: pantallas de auditoria, cadena de custodia del incidente y dispositivos; nuevo alta de camaras con permiso de un solo uso y revocaciones que se levantan</t>
        </is>
      </c>
      <c r="F15" s="19" t="inlineStr">
        <is>
          <t>f2ae93e</t>
        </is>
      </c>
      <c r="G15" s="19" t="inlineStr">
        <is>
          <t>No</t>
        </is>
      </c>
      <c r="H15" s="19" t="inlineStr">
        <is>
          <t>reloj de sesion 1 h</t>
        </is>
      </c>
      <c r="J15" s="2" t="n"/>
      <c r="K15" s="2" t="n"/>
      <c r="L15" s="2" t="n"/>
      <c r="M15" s="2" t="n"/>
      <c r="N15" s="2" t="n"/>
      <c r="O15" s="2" t="n"/>
    </row>
    <row r="16">
      <c r="A16" s="18" t="n">
        <v>46313</v>
      </c>
      <c r="B16" s="19" t="inlineStr">
        <is>
          <t>NX</t>
        </is>
      </c>
      <c r="C16" s="19" t="inlineStr">
        <is>
          <t>NX-11</t>
        </is>
      </c>
      <c r="D16" s="19" t="n">
        <v>3</v>
      </c>
      <c r="E16" s="19" t="inlineStr">
        <is>
          <t>SOS en directo en el panel por Agora: endpoint de SOS en curso, pagina /sos, aviso en todas las pantallas y visor como espectador; prueba completa con un telefono real contra el backend local</t>
        </is>
      </c>
      <c r="F16" s="19" t="inlineStr">
        <is>
          <t>sin commitear</t>
        </is>
      </c>
      <c r="G16" s="19" t="inlineStr">
        <is>
          <t>No</t>
        </is>
      </c>
      <c r="H16" s="19" t="inlineStr">
        <is>
          <t>3 h</t>
        </is>
      </c>
      <c r="J16" s="2" t="n"/>
      <c r="K16" s="2" t="n"/>
      <c r="L16" s="2" t="n"/>
      <c r="M16" s="2" t="n"/>
      <c r="N16" s="2" t="n"/>
      <c r="O16" s="2" t="n"/>
    </row>
    <row r="17">
      <c r="A17" s="18" t="n">
        <v>46314</v>
      </c>
      <c r="B17" s="19" t="inlineStr">
        <is>
          <t>NX</t>
        </is>
      </c>
      <c r="C17" s="19" t="inlineStr">
        <is>
          <t>NX-12</t>
        </is>
      </c>
      <c r="D17" s="19" t="n"/>
      <c r="E17" s="19" t="inlineStr">
        <is>
          <t>Alta por QR desde el panel (propuesta revisada con la sesion del telefono, backend y panel) y guia de alta en Word. Sin terminar</t>
        </is>
      </c>
      <c r="F17" s="19" t="inlineStr">
        <is>
          <t>sin commitear</t>
        </is>
      </c>
      <c r="G17" s="19" t="inlineStr">
        <is>
          <t>No</t>
        </is>
      </c>
      <c r="H17" s="19" t="inlineStr">
        <is>
          <t>pendiente: se fija al terminar</t>
        </is>
      </c>
      <c r="J17" s="2" t="n"/>
      <c r="K17" s="2" t="n"/>
      <c r="L17" s="2" t="n"/>
      <c r="M17" s="2" t="n"/>
      <c r="N17" s="2" t="n"/>
      <c r="O17" s="2" t="n"/>
    </row>
    <row r="18" s="15">
      <c r="A18" s="18" t="n">
        <v>46316</v>
      </c>
      <c r="B18" s="19" t="inlineStr">
        <is>
          <t>AN</t>
        </is>
      </c>
      <c r="C18" s="19" t="inlineStr">
        <is>
          <t>AN-16</t>
        </is>
      </c>
      <c r="D18" s="19" t="n">
        <v>2</v>
      </c>
      <c r="E18" s="19" t="inlineStr">
        <is>
          <t>Avisos SOS del mapa que no desaparecian e historial de SOS (rama dev_back_connection). Diagnostico: el banner y el tooltip del SOS de otro agente solo se quitaban con su cancelacion, que se pierde si el emisor se queda sin red, se le cierra la app o se apaga; el aviso "Signal cut" no caduca nunca y el marcador gris "Last seen" solo se borra si el agente sale del canal de forma ordenada. Ahora un SOS del que no se oye nada en 10 s se da por cortado (tambien si el emisor sale del canal), con la hora de su ultima senal. Boton de cerrar en el banner del SOS y en el marcador "Last seen". Boton de aviso junto al de centrar con contador del total de SOS y lista de todos los SOS registrados (agente, origen, fecha, inicio y fin), solo lectura, leida del backend (GET sos) con copia local si no hay conexion. El telefono que lleva la bodycam avisa al backend de su SOS (inicio, latidos y fin), que antes no quedaba registrado. Coordinado con la sesion del backend (contrato aeria-contracts sos-and-proxy.md 2.6). COMPILA Y PASAN LOS TESTS DE UNIDAD; SIN PROBAR EN APARATO</t>
        </is>
      </c>
      <c r="F18" s="19" t="inlineStr">
        <is>
          <t>sin commitear</t>
        </is>
      </c>
      <c r="G18" s="19" t="inlineStr">
        <is>
          <t>No</t>
        </is>
      </c>
      <c r="H18" s="19" t="inlineStr">
        <is>
          <t>2 h</t>
        </is>
      </c>
      <c r="J18" s="2" t="n"/>
      <c r="K18" s="2" t="n"/>
      <c r="L18" s="2" t="n"/>
      <c r="M18" s="2" t="n"/>
      <c r="N18" s="2" t="n"/>
      <c r="O18" s="2" t="n"/>
    </row>
    <row r="19">
      <c r="A19" s="18" t="n">
        <v>46320</v>
      </c>
      <c r="B19" s="19" t="inlineStr">
        <is>
          <t>NX</t>
        </is>
      </c>
      <c r="C19" s="19" t="inlineStr">
        <is>
          <t>NX-13</t>
        </is>
      </c>
      <c r="D19" s="19" t="n">
        <v>3</v>
      </c>
      <c r="E19" s="19" t="inlineStr">
        <is>
          <t>Cifrado y seguridad a partir de los requisitos del manager (Security Feature List). Informe para el tecnico de ciberseguridad en espanol y en ingles (docs/, 4 paginas cada uno): matriz dato por lugar, comunicaciones, IAM, algoritmos, identidad del agente en la evidencia y requisitos frente a lo construido. Arreglos en el backend: la copia descifrada que se sube a Azure Video Indexer se borra al indexar (y comando purge_video_indexer para lo anterior); semilla TOTP de los supervisores cifrada en la base (AES-256-GCM, FIELD_ENCRYPTION_KEY, migracion 0025); HTTPS con TLS 1.2/1.3, HSTS y cookies Secure detras de nginx; manifiesto cifrado (.fev) y fotos de la unidad como incidente propio. Contratos en aeria-contracts: transport.md nuevo (TLS y pinning del telefono), manifiesto cifrado, fotos de la unidad y officer_code. Encargos de cifrado a la bodycam y al telefono, revisados punto a punto. 491 tests en verde. NADA PROBADO EN APARATO NI EN EL ENTORNO CON AZURE</t>
        </is>
      </c>
      <c r="F19" s="19" t="inlineStr">
        <is>
          <t>sin commitear</t>
        </is>
      </c>
      <c r="G19" s="19" t="inlineStr">
        <is>
          <t>No</t>
        </is>
      </c>
      <c r="H19" s="19" t="inlineStr">
        <is>
          <t>3 h</t>
        </is>
      </c>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once ficheros .kt existentes y 254 en tres nuevos: PerfilDelAgente, EnrollmentAgenteForm y ProfileCutDialog); no se cuentan DEVLOG ni la documentacion.   NX-6 = tres niveles de usuario, altas desde el panel, codigos de error, atribucion de la evidencia a quien la grabo y SOS (endpoints y sesion restringida de un suspendido).   LINEAS DE CODIGO DEL 9-oct en NX, sin commitear, medidas con git: 2.556 anadidas (2.019 en nueve ficheros nuevos: iam_levels, iam_user_views, sos_models, sos_views, test_user_admin, test_sos, las migraciones 0017 y 0018 y la pagina /users del panel; 449 en ficheros existentes del backend y del panel; y 88 de test_tus, descontadas las ~45 del 2-oct que siguen sin commitear en ese fichero). De ellas, unas 800 son tests. No se cuentan package-lock.json, el DEVLOG ni la documentacion de aeria-contracts.   NX-7 = documento de aclaracion IAM contrastado e informe de contradicciones. NX-8 = workflows del piloto (recibo firmado, desfase de reloj, unidades revocadas, version minima, auditoria). NX-9 = seguridad (denegar por defecto, /media cerrado, cache en claro de vida corta, atribucion por binding_id). NX-10 = panel de auditoria, custodia y dispositivos, y nuevo alta de camaras. NX-11 = SOS en directo en el panel por Agora. NX-12 = alta por QR desde el panel y guia de alta.   10 A 19 DE OCTUBRE (NX): horas del reloj de las sesiones de Claude Code en el proyecto, sin pausas de mas de 30 min, repartidas entre bloques por la hora de commits y ficheros y redondeadas al alza al medio punto; NX-11 fijado en 3 h. NX-12 sin horas: se fija cuando se termine.   LINEAS DE CODIGO NX del 10 al 18-oct, medidas con git, sin documentacion ni package-lock.json: NX-6 262 (258 el 10-oct en 7effe73 y 498cd98, 4 el 12-oct en d766513; el resto del 12-oct entro en f2ae93e mezclado con NX-10 y se cuenta alli); NX-8 1.664 (5858d8f); NX-9 665 (a96a4ce); NX-10 1.742 (f2ae93e, incluye los ajustes del panel del 12-oct); NX-11 595, sin commitear (sos_views, test_sos, pagina /sos, SosLiveViewer, Layout y api.ts). NX-12 (~730 sin commitear) no se suma en M7 hasta fijar sus horas.   AN-16 = avisos SOS del mapa que caducan cuando el emisor deja de emitir, botones de cerrar e historial de SOS con contador leido del backend.   21 DE OCTUBRE: 2 h de la sesion AN, un solo bloque.   LINEAS DE CODIGO DEL 21-oct en AN, sin commitear: 837 anadidas (828 medidas con git: 408 en tres ficheros nuevos, HistorialSos, HistorialSosBackend y SosHistoryDialog, y 420 en AgoraRepository, MapScreen y MapViewModel; unas 9 estimadas en AppContainer, SosNotifier y AppNavHost, que llevan tambien cambios anteriores sin commitear); no se cuentan DEVLOG ni la documentacion.   NX-13 = cifrado y seguridad: informe para ciberseguridad (ES/EN), borrado de la copia en Video Indexer, semilla TOTP cifrada, HTTPS con HSTS y cookies seguras, manifiesto cifrado, contrato de transporte y encargos de cifrado a las dos apps.   25 DE OCTUBRE: 3 h de la sesion NX, un solo bloque.   LINEAS DE CODIGO DEL 25-oct en NX, sin commitear, medidas con git: 637 (382 en cuatro ficheros nuevos: fields.py, purge_video_indexer, la migracion 0025 y test_cifrado_backend; 255 en settings, azure_service, checks, models, tasks, tus_views, test_tus, requirements, .env.example y la plantilla de nginx). No se cuentan los ~730 del generador del informe en docs/fuentes-informe, el DEVLOG ni aeria-contracts.</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2026-08-30T19:55:45Z</dcterms:created>
  <dcterms:modified xsi:type="dcterms:W3CDTF">2026-10-24T23:30:43Z</dcterms:modified>
</cp:coreProperties>
</file>