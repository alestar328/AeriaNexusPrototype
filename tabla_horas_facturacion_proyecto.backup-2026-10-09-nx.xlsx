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 BC-18</t>
        </is>
      </c>
      <c r="L5" s="13">
        <f>SUMPRODUCT(($B$4:$B$65="BC")/COUNTIFS($A$4:$A$65,$A$4:$A$65&amp;"",$B$4:$B$65,$B$4:$B$65&amp;""))</f>
        <v/>
      </c>
      <c r="M5" s="13" t="n">
        <v>1401</v>
      </c>
      <c r="N5" s="13">
        <f>SUMIFS($D$4:$D$65,$B$4:$B$65,"BC",$G$4:$G$65,"&lt;&gt;Sí")</f>
        <v/>
      </c>
      <c r="O5" s="9">
        <f>N5*$K$9</f>
        <v/>
      </c>
    </row>
    <row r="6" s="15">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 AN-15</t>
        </is>
      </c>
      <c r="L6" s="13">
        <f>SUMPRODUCT(($B$4:$B$65="AN")/COUNTIFS($A$4:$A$65,$A$4:$A$65&amp;"",$B$4:$B$65,$B$4:$B$65&amp;""))</f>
        <v/>
      </c>
      <c r="M6" s="13" t="n">
        <v>1043</v>
      </c>
      <c r="N6" s="13">
        <f>SUMIFS($D$4:$D$65,$B$4:$B$65,"AN",$G$4:$G$65,"&lt;&gt;Sí")</f>
        <v/>
      </c>
      <c r="O6" s="9">
        <f>N6*$K$9</f>
        <v/>
      </c>
    </row>
    <row r="7" s="15">
      <c r="A7" s="18" t="n">
        <v>46304</v>
      </c>
      <c r="B7" s="19" t="inlineStr">
        <is>
          <t>BC</t>
        </is>
      </c>
      <c r="C7" s="19" t="inlineStr">
        <is>
          <t>BC-18</t>
        </is>
      </c>
      <c r="D7" s="19" t="n">
        <v>2</v>
      </c>
      <c r="E7" s="19" t="inlineStr">
        <is>
          <t>Subida rechazada por la credencial y coordinacion con backend y movil por las altas desde el panel y la suspension de perfiles (rama dev_whisper_text). Revision de la unidad contra iam-session.md: no mira roles ni alcances. ChunkedUploader lee el motivo de un 401/403 (cabecera X-Error-Code o code del cuerpo), corta sin reintentos y suelta el token prestado salvo insufficient_scope; lo pendiente espera a un token nuevo. Motivo al telefono por BT: UPLOAD_REJECTED y campo rejected en UPLOAD_LIST. Clave nueva officer_user_id en Upload-Metadata (quien grabo) para que el backend deje de atribuir por la sesion que sube. El token sobrevive a la caida del Bluetooth y se retira al acreditarse otro telefono. Contrato escrito en aeria-contracts/upload-protocol.md 5.3 y docs/UPLOAD-PROTOCOL.md. COMPILA; SIN PROBAR EN LA W1 NI CONTRA EL BACKEND</t>
        </is>
      </c>
      <c r="F7" s="19" t="inlineStr">
        <is>
          <t>sin commitear</t>
        </is>
      </c>
      <c r="G7" s="19" t="inlineStr">
        <is>
          <t>No</t>
        </is>
      </c>
      <c r="H7" s="19" t="inlineStr">
        <is>
          <t>2 h indicadas por el usuario</t>
        </is>
      </c>
      <c r="J7" s="13" t="inlineStr">
        <is>
          <t>aeria-nexus (backend)</t>
        </is>
      </c>
      <c r="K7" s="11" t="inlineStr">
        <is>
          <t>NX-5</t>
        </is>
      </c>
      <c r="L7" s="13">
        <f>SUMPRODUCT(($B$4:$B$65="NX")/COUNTIFS($A$4:$A$65,$A$4:$A$65&amp;"",$B$4:$B$65,$B$4:$B$65&amp;""))</f>
        <v/>
      </c>
      <c r="M7" s="13" t="n">
        <v>92</v>
      </c>
      <c r="N7" s="13">
        <f>SUMIFS($D$4:$D$65,$B$4:$B$65,"NX",$G$4:$G$65,"&lt;&gt;Sí")</f>
        <v/>
      </c>
      <c r="O7" s="9">
        <f>N7*$K$9</f>
        <v/>
      </c>
    </row>
    <row r="8">
      <c r="A8" s="18" t="n"/>
      <c r="B8" s="19" t="n"/>
      <c r="C8" s="19" t="n"/>
      <c r="D8" s="19" t="n"/>
      <c r="E8" s="19" t="n"/>
      <c r="F8" s="19" t="n"/>
      <c r="G8" s="19" t="n"/>
      <c r="H8" s="19" t="n"/>
      <c r="J8" s="10" t="inlineStr">
        <is>
          <t>TOTAL DEL MES</t>
        </is>
      </c>
      <c r="K8" s="13">
        <f>SUMPRODUCT(($C$4:$C$65&lt;&gt;"")/COUNTIF($C$4:$C$65,$C$4:$C$65&amp;""))</f>
        <v/>
      </c>
      <c r="L8" s="13">
        <f>SUMPRODUCT(($A$4:$A$65&lt;&gt;"")/COUNTIF($A$4:$A$65,$A$4:$A$65&amp;""))</f>
        <v/>
      </c>
      <c r="M8" s="10">
        <f>SUM(M5:M7)</f>
        <v/>
      </c>
      <c r="N8" s="10">
        <f>SUM(N5:N7)</f>
        <v/>
      </c>
      <c r="O8" s="12">
        <f>SUM(O5:O7)</f>
        <v/>
      </c>
    </row>
    <row r="9">
      <c r="A9" s="18" t="n">
        <v>46304</v>
      </c>
      <c r="B9" s="19" t="inlineStr">
        <is>
          <t>AN</t>
        </is>
      </c>
      <c r="C9" s="19" t="inlineStr">
        <is>
          <t>AN-15</t>
        </is>
      </c>
      <c r="D9" s="19" t="n">
        <v>2</v>
      </c>
      <c r="E9" s="19" t="inlineStr">
        <is>
          <t>Altas desde el panel, perfil del agente y suspension de perfiles en el telefono (rama dev_back_connection). Revision del telefono contra iam-session.md y coordinacion con las sesiones del backend y de la bodycam: no mira roles ni alcances; se corrigen en el contrato la declaracion de la atadura y cuatro frases que no describian al telefono. Alta del agente: el identificador se teclea entero (formulario OFFICER ID, minusculas, sin espacios, misma regla que el panel) en vez de ir fijo en el codigo. Mensajes propios en ingles segun el code del backend (perfil suspendido, revocado, inexistente, telefono no reconocido). Nombre, rango y placa llegan del backend en el alta y en cada sesion, se guardan en el telefono y son los que firma la atadura con la bodycam. Agente suspendido o revocado a mitad de turno: se deja de reintentar, se descarta el token, se avisa al agente y sigue grabando en local; CHECK AGAIN o el siguiente desbloqueo vuelven a preguntar. Sesion restringida sos_only para que el SOS de un suspendido llegue al backend, prestada tambien a la bodycam. COMPILA Y PASAN LOS TESTS DE UNIDAD; SIN PROBAR EN APARATO NI CONTRA EL BACKEND</t>
        </is>
      </c>
      <c r="F9" s="19" t="inlineStr">
        <is>
          <t>sin commitear</t>
        </is>
      </c>
      <c r="G9" s="19" t="inlineStr">
        <is>
          <t>No</t>
        </is>
      </c>
      <c r="H9" s="19" t="inlineStr">
        <is>
          <t>2 h</t>
        </is>
      </c>
      <c r="J9" s="10" t="inlineStr">
        <is>
          <t>Tarifa (€/h)</t>
        </is>
      </c>
      <c r="K9" s="13" t="n">
        <v>20</v>
      </c>
      <c r="L9" s="2" t="n"/>
      <c r="M9" s="2" t="n"/>
      <c r="N9" s="2" t="n"/>
      <c r="O9" s="2" t="n"/>
    </row>
    <row r="10">
      <c r="A10" s="18" t="n"/>
      <c r="B10" s="19" t="n"/>
      <c r="C10" s="19" t="n"/>
      <c r="D10" s="19" t="n"/>
      <c r="E10" s="19" t="n"/>
      <c r="F10" s="19" t="n"/>
      <c r="G10" s="19" t="n"/>
      <c r="H10" s="19" t="n"/>
      <c r="J10" s="2" t="n"/>
      <c r="K10" s="2" t="n"/>
      <c r="L10" s="2" t="n"/>
      <c r="M10" s="2" t="n"/>
      <c r="N10" s="2" t="n"/>
      <c r="O10" s="2" t="n"/>
    </row>
    <row r="11">
      <c r="A11" s="18" t="n"/>
      <c r="B11" s="19" t="n"/>
      <c r="C11" s="19" t="n"/>
      <c r="D11" s="19" t="n"/>
      <c r="E11" s="19" t="n"/>
      <c r="F11" s="19" t="n"/>
      <c r="G11" s="19" t="n"/>
      <c r="H11" s="19" t="n"/>
      <c r="J11" s="2" t="n"/>
      <c r="K11" s="2" t="n"/>
      <c r="L11" s="2" t="n"/>
      <c r="M11" s="2" t="n"/>
      <c r="N11" s="2" t="n"/>
      <c r="O11" s="2" t="n"/>
    </row>
    <row r="12">
      <c r="A12" s="18" t="n"/>
      <c r="B12" s="19" t="n"/>
      <c r="C12" s="19" t="n"/>
      <c r="D12" s="19" t="n"/>
      <c r="E12" s="19" t="n"/>
      <c r="F12" s="19" t="n"/>
      <c r="G12" s="19" t="n"/>
      <c r="H12" s="19" t="n"/>
      <c r="J12" s="2" t="n"/>
      <c r="K12" s="2" t="n"/>
      <c r="L12" s="2" t="n"/>
      <c r="M12" s="2" t="n"/>
      <c r="N12" s="2" t="n"/>
      <c r="O12" s="2" t="n"/>
    </row>
    <row r="13">
      <c r="A13" s="18" t="n"/>
      <c r="B13" s="19" t="n"/>
      <c r="C13" s="19" t="n"/>
      <c r="D13" s="19" t="n"/>
      <c r="E13" s="19" t="n"/>
      <c r="F13" s="19" t="n"/>
      <c r="G13" s="19" t="n"/>
      <c r="H13" s="19" t="n"/>
      <c r="J13" s="2" t="n"/>
      <c r="K13" s="2" t="n"/>
      <c r="L13" s="2" t="n"/>
      <c r="M13" s="2" t="n"/>
      <c r="N13" s="2" t="n"/>
      <c r="O13" s="2" t="n"/>
    </row>
    <row r="14">
      <c r="A14" s="18" t="n"/>
      <c r="B14" s="19" t="n"/>
      <c r="C14" s="19" t="n"/>
      <c r="D14" s="19" t="n"/>
      <c r="E14" s="19" t="n"/>
      <c r="F14" s="19" t="n"/>
      <c r="G14" s="19" t="n"/>
      <c r="H14" s="19" t="n"/>
      <c r="J14" s="2" t="n"/>
      <c r="K14" s="2" t="n"/>
      <c r="L14" s="2" t="n"/>
      <c r="M14" s="2" t="n"/>
      <c r="N14" s="2" t="n"/>
      <c r="O14" s="2" t="n"/>
    </row>
    <row r="15">
      <c r="A15" s="18" t="n"/>
      <c r="B15" s="19" t="n"/>
      <c r="C15" s="19" t="n"/>
      <c r="D15" s="19" t="n"/>
      <c r="E15" s="19" t="n"/>
      <c r="F15" s="19" t="n"/>
      <c r="G15" s="19" t="n"/>
      <c r="H15" s="19" t="n"/>
      <c r="J15" s="2" t="n"/>
      <c r="K15" s="2" t="n"/>
      <c r="L15" s="2" t="n"/>
      <c r="M15" s="2" t="n"/>
      <c r="N15" s="2" t="n"/>
      <c r="O15" s="2" t="n"/>
    </row>
    <row r="16">
      <c r="A16" s="18" t="n"/>
      <c r="B16" s="19" t="n"/>
      <c r="C16" s="19" t="n"/>
      <c r="D16" s="19" t="n"/>
      <c r="E16" s="19" t="n"/>
      <c r="F16" s="19" t="n"/>
      <c r="G16" s="19" t="n"/>
      <c r="H16" s="19" t="n"/>
      <c r="J16" s="2" t="n"/>
      <c r="K16" s="2" t="n"/>
      <c r="L16" s="2" t="n"/>
      <c r="M16" s="2" t="n"/>
      <c r="N16" s="2" t="n"/>
      <c r="O16" s="2" t="n"/>
    </row>
    <row r="17">
      <c r="A17" s="18" t="n"/>
      <c r="B17" s="19" t="n"/>
      <c r="C17" s="19" t="n"/>
      <c r="D17" s="19" t="n"/>
      <c r="E17" s="19" t="n"/>
      <c r="F17" s="19" t="n"/>
      <c r="G17" s="19" t="n"/>
      <c r="H17" s="19" t="n"/>
      <c r="J17" s="2" t="n"/>
      <c r="K17" s="2" t="n"/>
      <c r="L17" s="2" t="n"/>
      <c r="M17" s="2" t="n"/>
      <c r="N17" s="2" t="n"/>
      <c r="O17" s="2" t="n"/>
    </row>
    <row r="18">
      <c r="A18" s="18" t="n"/>
      <c r="B18" s="19" t="n"/>
      <c r="C18" s="19" t="n"/>
      <c r="D18" s="19" t="n"/>
      <c r="E18" s="19" t="n"/>
      <c r="F18" s="19" t="n"/>
      <c r="G18" s="19" t="n"/>
      <c r="H18" s="19" t="n"/>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8-65 (8 y 9 reservadas el 9-oct para NX y AN).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   BC-18 = subida rechazada por la credencial: motivo al telefono, sin reintentos, officer_user_id en la metadata y token que sobrevive al corte de Bluetooth.   9 DE OCTUBRE: 2 h por sesion indicadas por el usuario para cada una de las tres sesiones (BC, NX y AN); cada sesion anota su fila.   LINEAS DE CODIGO DEL 9-oct en BC, sin commitear: unas 190 anadidas (98 medidas con git en ChunkedUploader y UploadConfig; el resto, en UploadService, Protocol y BtServerService, estimado porque esos ficheros llevan tambien lo del 2-oct sin commitear); no se cuenta la documentacion.   AN-15 = altas desde el panel en el telefono: identificador del agente tecleado, perfil del agente desde el backend para la atadura con la bodycam, aviso de perfil suspendido sin bloquear la app y SOS del agente suspendido.   LINEAS DE CODIGO DEL 9-oct en AN, sin commitear, medidas con git: 645 anadidas (391 en doce ficheros .kt existentes y 254 en tres nuevos: PerfilDelAgente, EnrollmentAgenteForm y ProfileCutDialog); no se cuentan DEVLOG ni la documentacion.</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2026-10-09T14:26:01Z</dcterms:modified>
</cp:coreProperties>
</file>