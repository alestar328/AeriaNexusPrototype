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 xmlns:r="http://schemas.openxmlformats.org/officeDocument/2006/relationships" name="2026-10"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10">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
      <name val="Arial"/>
      <strike val="0"/>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xf numFmtId="164" fontId="9"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 BC-16</t>
        </is>
      </c>
      <c r="L5" s="13">
        <f>SUMPRODUCT(($B$4:$B$65="BC")/COUNTIFS($A$4:$A$65,$A$4:$A$65&amp;"",$B$4:$B$65,$B$4:$B$65&amp;""))</f>
        <v/>
      </c>
      <c r="M5" s="13" t="n">
        <v>5560</v>
      </c>
      <c r="N5" s="13">
        <f>SUMIFS($D$4:$D$65,$B$4:$B$65,"BC",$G$4:$G$65,"&lt;&gt;Sí")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 AN-13</t>
        </is>
      </c>
      <c r="L6" s="13">
        <f>SUMPRODUCT(($B$4:$B$65="AN")/COUNTIFS($A$4:$A$65,$A$4:$A$65&amp;"",$B$4:$B$65,$B$4:$B$65&amp;""))</f>
        <v/>
      </c>
      <c r="M6" s="13" t="n">
        <v>20950</v>
      </c>
      <c r="N6" s="13">
        <f>SUMIFS($D$4:$D$65,$B$4:$B$65,"AN",$G$4:$G$65,"&lt;&gt;Sí")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SUMPRODUCT(($B$4:$B$65="NX")/COUNTIFS($A$4:$A$65,$A$4:$A$65&amp;"",$B$4:$B$65,$B$4:$B$65&amp;""))</f>
        <v/>
      </c>
      <c r="M7" s="13" t="n">
        <v>11308</v>
      </c>
      <c r="N7" s="13">
        <f>SUMIFS($D$4:$D$65,$B$4:$B$65,"NX",$G$4:$G$65,"&lt;&gt;Sí")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SUMPRODUCT(($C$4:$C$65&lt;&gt;"")/COUNTIF($C$4:$C$65,$C$4:$C$65&amp;""))</f>
        <v/>
      </c>
      <c r="L8" s="13">
        <f>SUMPRODUCT(($A$4:$A$65&lt;&gt;"")/COUNTIF($A$4:$A$65,$A$4:$A$65&amp;""))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n"/>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n"/>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n"/>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3 h</t>
        </is>
      </c>
      <c r="J54" s="2" t="n"/>
      <c r="K54" s="2" t="n"/>
      <c r="L54" s="2" t="n"/>
      <c r="M54" s="2" t="n"/>
      <c r="N54" s="2" t="n"/>
      <c r="O54" s="2" t="n"/>
    </row>
    <row r="55" ht="15.75" customHeight="1" s="15">
      <c r="A55" s="6" t="n">
        <v>46293</v>
      </c>
      <c r="B55" s="11" t="inlineStr">
        <is>
          <t>BC</t>
        </is>
      </c>
      <c r="C55" s="11" t="inlineStr">
        <is>
          <t>BC-7</t>
        </is>
      </c>
      <c r="D55" s="11" t="n">
        <v>0.5</v>
      </c>
      <c r="E55" s="11" t="inlineStr">
        <is>
          <t>Workflow 31 v2, canal Bluetooth cifrado (lado bodycam): emparejamiento AERIA-BWC-2 con clave ECDH efimera P-256 firmada dentro de la transcripcion, y todo lo que sigue a AUTH_OK como AES-256-GCM por linea (una clave por sentido con HKDF, contador implicito como IV, un fallo corta). Modo transicion por decision del usuario: sigue aceptando v1 y comandos en claro (EXIGIR_CANAL_CIFRADO=false), pero el TOKEN de la sesion ya solo por canal cifrado. Sin probar en la W1: las anclas no casan con las CA del backend</t>
        </is>
      </c>
      <c r="F55" s="11" t="inlineStr">
        <is>
          <t>sin commitear</t>
        </is>
      </c>
      <c r="G55" s="11" t="inlineStr">
        <is>
          <t>No</t>
        </is>
      </c>
      <c r="H55" s="11" t="inlineStr">
        <is>
          <t>1 h para el workflow 31; reparto 0,5 / 0,5 por app estimado</t>
        </is>
      </c>
      <c r="J55" s="2" t="n"/>
      <c r="K55" s="2" t="n"/>
      <c r="L55" s="2" t="n"/>
      <c r="M55" s="2" t="n"/>
      <c r="N55" s="2" t="n"/>
      <c r="O55" s="2" t="n"/>
    </row>
    <row r="56" ht="15.75" customHeight="1" s="15">
      <c r="A56" s="6" t="n">
        <v>46293</v>
      </c>
      <c r="B56" s="11" t="inlineStr">
        <is>
          <t>AN</t>
        </is>
      </c>
      <c r="C56" s="11" t="inlineStr">
        <is>
          <t>AN-3</t>
        </is>
      </c>
      <c r="D56" s="11" t="n">
        <v>0.5</v>
      </c>
      <c r="E56" s="11" t="inlineStr">
        <is>
          <t>Workflow 31 v2, canal Bluetooth cifrado (lado telefono): el telefono solo habla v2, instala el canal antes de marcar el enlace (el token no sale en claro) y encola los comandos mientras empareja. CanalCifrado.kt identico en las dos apps. 7 pruebas JVM nuevas (intermediario que cambia la clave, bodycam sin clave, trama repetida, reflejada y manipulada, canal en los dos sentidos, transcripcion v1 intacta): 13/13 pasan</t>
        </is>
      </c>
      <c r="F56" s="11" t="inlineStr">
        <is>
          <t>sin commitear</t>
        </is>
      </c>
      <c r="G56" s="11" t="inlineStr">
        <is>
          <t>No</t>
        </is>
      </c>
      <c r="H56" s="11" t="inlineStr">
        <is>
          <t>1 h para el workflow 31; reparto 0,5 / 0,5 por app estimado</t>
        </is>
      </c>
      <c r="J56" s="2" t="n"/>
      <c r="K56" s="2" t="n"/>
      <c r="L56" s="2" t="n"/>
      <c r="M56" s="2" t="n"/>
      <c r="N56" s="2" t="n"/>
      <c r="O56" s="2" t="n"/>
    </row>
    <row r="57" ht="15.75" customHeight="1" s="15">
      <c r="A57" s="6" t="n">
        <v>46293</v>
      </c>
      <c r="B57" s="11" t="inlineStr">
        <is>
          <t>BC</t>
        </is>
      </c>
      <c r="C57" s="11" t="inlineStr">
        <is>
          <t>BC-7</t>
        </is>
      </c>
      <c r="D57" s="11" t="n">
        <v>0.5</v>
      </c>
      <c r="E57" s="11" t="inlineStr">
        <is>
          <t>Identidad de la bodycam y alta en el IAM (opcion B). El BWC-xxxx pasa a salir del serial (4 hex del SHA-256 de Build.getSerial()): reinstalar ya no cambia el id ni deja huerfana la credencial; el choque entre unidades lo para el guion antes de mandar nada. READ_PHONE_STATE concedido por el device owner o por el guion. Alta de la W1 contra el backend: BWC-7D6F, certificado de AeriaOne Device Identity CA y las dos anclas, PROBADO EN LA UNIDAD. Analisis de contestar al SOS por voz (PTT en el directo), encargado a la sesion AN</t>
        </is>
      </c>
      <c r="F57" s="11" t="inlineStr">
        <is>
          <t>58493ba + sin commitear</t>
        </is>
      </c>
      <c r="G57" s="11" t="inlineStr">
        <is>
          <t>No</t>
        </is>
      </c>
      <c r="H57" s="11" t="inlineStr">
        <is>
          <t>reloj de sesion 23:25-23:58 (0,55 h), redondeado al alza; la sesion entera 23:25-00:20 se parte en dos filas</t>
        </is>
      </c>
      <c r="J57" s="2" t="n"/>
      <c r="K57" s="2" t="n"/>
      <c r="L57" s="2" t="n"/>
      <c r="M57" s="2" t="n"/>
      <c r="N57" s="2" t="n"/>
      <c r="O57" s="2" t="n"/>
    </row>
    <row r="58" ht="15.75" customHeight="1" s="15">
      <c r="A58" s="6" t="n">
        <v>46293</v>
      </c>
      <c r="B58" s="11" t="inlineStr">
        <is>
          <t>BC</t>
        </is>
      </c>
      <c r="C58" s="11" t="inlineStr">
        <is>
          <t>BC-16</t>
        </is>
      </c>
      <c r="D58" s="11" t="n">
        <v>0.5</v>
      </c>
      <c r="E58" s="11" t="inlineStr">
        <is>
          <t>Alta de aparatos a distancia para el manager, que prueba en otro pais sin ordenador y con APK de release: analisis de por que no se conectan (el alta solo va por adb), propuesta de alta de la bodycam a traves del movil para el 29-sep y version piloto sin identidad (flag PILOTO_SIN_IDENTIDAD en la bodycam; el movil ya lo cubre con SIMULADOR_CONFIANZA_EN_RELEASE). COMPILA A MEDIAS: la compilacion final quedo bloqueada por permisos</t>
        </is>
      </c>
      <c r="F58" s="11" t="inlineStr">
        <is>
          <t>sin commitear</t>
        </is>
      </c>
      <c r="G58" s="11" t="inlineStr">
        <is>
          <t>No</t>
        </is>
      </c>
      <c r="H58" s="11" t="inlineStr">
        <is>
          <t>reloj de sesion 23:58-00:20 (0,4 h), redondeado al alza</t>
        </is>
      </c>
      <c r="J58" s="2" t="n"/>
      <c r="K58" s="2" t="n"/>
      <c r="L58" s="2" t="n"/>
      <c r="M58" s="2" t="n"/>
      <c r="N58" s="2" t="n"/>
      <c r="O58" s="2" t="n"/>
    </row>
    <row r="59" ht="15.75" customHeight="1" s="15">
      <c r="A59" s="6" t="n">
        <v>46293</v>
      </c>
      <c r="B59" s="11" t="inlineStr">
        <is>
          <t>AN</t>
        </is>
      </c>
      <c r="C59" s="11" t="inlineStr">
        <is>
          <t>AN-2</t>
        </is>
      </c>
      <c r="D59" s="11" t="n">
        <v>0.5</v>
      </c>
      <c r="E59" s="11" t="inlineStr">
        <is>
          <t>AN-0: el telefono guarda el ancla de perifericos (device_ca_pem) que le devuelve su propia alta, sin la cual rechazaria a una W1 dada de alta en el IAM. Wf 53: con la credencial caducada el telefono se bloquea salvo mientras graba (camara, audio, SOS, bodycam o gafas), y desata la W1 con el motivo CADUCIDAD. Compila y pasan las pruebas de la politica; SIN PROBAR EN APARATO</t>
        </is>
      </c>
      <c r="F59" s="11" t="inlineStr">
        <is>
          <t>2516769 + sin commitear</t>
        </is>
      </c>
      <c r="G59" s="11" t="inlineStr">
        <is>
          <t>No</t>
        </is>
      </c>
      <c r="H59" s="11" t="inlineStr">
        <is>
          <t>marcas de fichero de la sesion AN: 23:20-23:30 y 23:40-23:55; los 35 min de la sesion AN se redondean al alza a 1 h y se reparten 0,5 / 0,5</t>
        </is>
      </c>
      <c r="J59" s="2" t="n"/>
      <c r="K59" s="2" t="n"/>
      <c r="L59" s="2" t="n"/>
      <c r="M59" s="2" t="n"/>
      <c r="N59" s="2" t="n"/>
      <c r="O59" s="2" t="n"/>
    </row>
    <row r="60" ht="15.75" customHeight="1" s="15">
      <c r="A60" s="6" t="n">
        <v>46293</v>
      </c>
      <c r="B60" s="11" t="inlineStr">
        <is>
          <t>AN</t>
        </is>
      </c>
      <c r="C60" s="11" t="inlineStr">
        <is>
          <t>AN-4</t>
        </is>
      </c>
      <c r="D60" s="11" t="n">
        <v>0.5</v>
      </c>
      <c r="E60" s="11" t="inlineStr">
        <is>
          <t>PTT en el directo del SOS: boton de mantener para hablar en la pantalla del livestream, para que los agentes que ven un SOS puedan contestar al que lo emite (decision del usuario: voz por PTT, ni texto ni conferencia). Mismos tonos y permiso que en Operations, aviso de PTT pisado; la banda de quien habla baja para no tapar el boton de volver. Compila, SIN PROBAR EN APARATO</t>
        </is>
      </c>
      <c r="F60" s="11" t="inlineStr">
        <is>
          <t>2516769</t>
        </is>
      </c>
      <c r="G60" s="11" t="inlineStr">
        <is>
          <t>No</t>
        </is>
      </c>
      <c r="H60" s="11" t="inlineStr">
        <is>
          <t>marcas de fichero de la sesion AN: 23:30-23:40; ver fila anterior para el redondeo</t>
        </is>
      </c>
      <c r="J60" s="2" t="n"/>
      <c r="K60" s="2" t="n"/>
      <c r="L60" s="2" t="n"/>
      <c r="M60" s="2" t="n"/>
      <c r="N60" s="2" t="n"/>
      <c r="O60" s="2" t="n"/>
    </row>
    <row r="61" ht="15.75" customHeight="1" s="15">
      <c r="A61" s="6" t="n">
        <v>46294</v>
      </c>
      <c r="B61" s="11" t="inlineStr">
        <is>
          <t>AN</t>
        </is>
      </c>
      <c r="C61" s="11" t="inlineStr">
        <is>
          <t>AN-13</t>
        </is>
      </c>
      <c r="D61" s="11" t="n">
        <v>2.5</v>
      </c>
      <c r="E61" s="11" t="inlineStr">
        <is>
          <t>SOS con directo (peticion del usuario). Mapa: el circulo amarillo de un agente en SOS se puede tocar y abre el aviso SOS active / VIEW LIVESTREAM (dos botones si emite desde el telefono y la bodycam); el telefono atado anuncia su bodycam en la posicion para situar en el mapa el SOS de la W1, que no tiene GPS. Directo del receptor: PTT conmutador (boton sacado de Operations a ui/components) y MUTED local. Directo del emisor: MIC ON/OFF (arranca abierto) y OTHERS ON/OFF, solo volumen local para no perder nada en la grabacion de la nube, con registro en el diario de auditoria. Tono de SOS configurable (OFF / DISCREET / LOUD) en el perfil, mandado a la W1 por BT (SOS_TONE); camara y micro se publican al acabar el tono. Coordinacion con la sesion de la bodycam (doble F2 en lugar de pulsacion larga, que el firmware no permite; micro abierto en el SOS de la W1). Probado en el Samsung y la W1: SOS_TONE, tono, micro y silencios, restauracion al cancelar, diario y directo de la W1 con MUTED. Arreglados en la prueba: banda de PTT que tapaba la barra del directo y texto partido.</t>
        </is>
      </c>
      <c r="F61" s="11" t="inlineStr">
        <is>
          <t>sin commitear</t>
        </is>
      </c>
      <c r="G61" s="11" t="inlineStr">
        <is>
          <t>No</t>
        </is>
      </c>
      <c r="H61" s="11" t="inlineStr">
        <is>
          <t>2,5 h. Reloj de la sesion: ~13:10-13:55 y 14:58-15:10 (~0,95 h medidas, inicio estimado); el resto es el tiempo del usuario instalando y probando a mano</t>
        </is>
      </c>
      <c r="J61" s="2" t="n"/>
      <c r="K61" s="2" t="n"/>
      <c r="L61" s="2" t="n"/>
      <c r="M61" s="2" t="n"/>
      <c r="N61" s="2" t="n"/>
      <c r="O61" s="2" t="n"/>
    </row>
    <row r="62" ht="15.75" customHeight="1" s="15">
      <c r="A62" s="6" t="n"/>
      <c r="B62" s="11" t="n"/>
      <c r="C62" s="11" t="n"/>
      <c r="D62" s="11" t="n"/>
      <c r="E62" s="11" t="n"/>
      <c r="F62" s="11" t="n"/>
      <c r="G62" s="11" t="n"/>
      <c r="H62" s="11" t="n"/>
      <c r="J62" s="2" t="n"/>
      <c r="K62" s="2" t="n"/>
      <c r="L62" s="2" t="n"/>
      <c r="M62" s="2" t="n"/>
      <c r="N62" s="2" t="n"/>
      <c r="O62" s="2" t="n"/>
    </row>
    <row r="63" ht="15.75" customHeight="1" s="15">
      <c r="A63" s="6" t="n"/>
      <c r="B63" s="11" t="n"/>
      <c r="C63" s="11" t="n"/>
      <c r="D63" s="11" t="n"/>
      <c r="E63" s="11" t="n"/>
      <c r="F63" s="11" t="n"/>
      <c r="G63" s="11" t="n"/>
      <c r="H63" s="11" t="n"/>
      <c r="J63" s="2" t="n"/>
      <c r="K63" s="2" t="n"/>
      <c r="L63" s="2" t="n"/>
      <c r="M63" s="2" t="n"/>
      <c r="N63" s="2" t="n"/>
      <c r="O63" s="2" t="n"/>
    </row>
    <row r="64" ht="15.75" customHeight="1" s="15">
      <c r="A64" s="6" t="n"/>
      <c r="B64" s="11" t="n"/>
      <c r="C64" s="11" t="n"/>
      <c r="D64" s="11" t="n"/>
      <c r="E64" s="11" t="n"/>
      <c r="F64" s="11" t="n"/>
      <c r="G64" s="11" t="n"/>
      <c r="H64" s="11" t="n"/>
      <c r="J64" s="2" t="n"/>
      <c r="K64" s="2" t="n"/>
      <c r="L64" s="2" t="n"/>
      <c r="M64" s="2" t="n"/>
      <c r="N64" s="2" t="n"/>
      <c r="O64" s="2" t="n"/>
    </row>
    <row r="65" ht="15.75" customHeight="1" s="15">
      <c r="A65" s="6" t="n"/>
      <c r="B65" s="11" t="n"/>
      <c r="C65" s="11" t="n"/>
      <c r="D65" s="11" t="n"/>
      <c r="E65" s="11" t="n"/>
      <c r="F65" s="11" t="n"/>
      <c r="G65" s="11" t="n"/>
      <c r="H65" s="11"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va sin bloque, como las reuniones de agosto. La fila de la tarde del 9 (gafas, 1,3 h) sale del reloj de sesion 21:05-22:25. Al 7 de septiembre se imputan 3 h;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el reparto 1,8 AN / 1,2 BC es estimacion. Lineas del 11, sin commitear: 462 en BC medidas con git y ficheros nuevos; unas 1.169 en AN, de ellas ~80 estimadas en tres ficheros que ya traian cambios de antes.   12 DE SEPTIEMBRE: AN-5 = mando a distancia de las gafas (grabar, parar y foto por BLE). Se imputan 3 h.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Se imputan 2 h;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Se imputa 1 h.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Al 17 se imputan 2,5 h: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imputado es de 4 h.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Se imputan 3 h al dia;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imputacion fijada el 21-sep a las 21:00 y subida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Se imputan 1,5 h.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28 DE SEPTIEMBRE: BC-7 y AN-3 (emparejamiento, ya existentes) = workflow 31 v2, el canal Bluetooth entre telefono y bodycam pasa a ir cifrado (ECDH efimero firmado + AES-256-GCM por linea). Hasta hoy el token de la sesion del agente, prestado a la bodycam desde el 25-sep, viajaba en claro. Modo transicion por decision del usuario: la bodycam sigue aceptando telefonos sin cifrar mientras sus anclas no casen con las CA del backend; el token ya solo va cifrado. SIN PROBAR EN APARATOS: hoy ningun telefono se acredita ante la W1. Se imputa 1 h; el reparto 0,5 / 0,5 es estimacion. Lineas .kt sin commitear, medidas con git: 326 anadidas en BC (161 de CanalCifrado, nuevo; 74 en Emparejamiento y 91 en BtServerService) y unas 426 en AN (161 de CanalCifrado, 64 en EmparejamientoBodycam, 135 de pruebas JVM y unas 66 en BodycamRepository; esta ultima es estimacion, porque el fichero lleva tambien cambios sin commitear de otra sesion).   RANGO AMPLIADO el 28-sep de la fila 55 a la 65: total en la 66 y esta leyenda en la 68. FILAS LIBRES: 57-65; al agotarlas hay que ampliar $65 en D66, K8, L5-L8 y N5-N7.   28 DE SEPTIEMBRE, NOCHE (sesiones en paralelo BC y AN, filas 57-60): BC-7 = BWC derivado del serial y alta de la W1 en el IAM, probada en la unidad. BC-16 (bloque nuevo) = alta de aparatos a distancia y version piloto sin identidad para el manager. AN-2 = AN-0 (ancla de perifericos del alta) y wf 53 (caducidad de la credencial). AN-4 = PTT en el directo del SOS. ORIGEN: BC, reloj de su sesion 23:25-00:20 (0,9 h) partido en 0,55 + 0,4 y redondeado al alza a 0,5 + 0,5; AN, marcas de fichero 23:20-23:55 (0,6 h) que dio la propia sesion AN, redondeadas al alza a 1 h y repartidas 0,5 / 0,5 por estimacion. LINEAS .kt medidas con git: BC 94 (74 en el commit 58493ba sin contar UploadService, que es del 28 por la tarde, y 20 sin commitear); no se cuentan las 265 del guion tools/alta-bodycam-iam.sh. AN unas 596 (181 en el commit 2516769, 114 modificadas y 301 en ficheros nuevos sin commitear del wf 53, pruebas JVM incluidas). FILAS LIBRES: 62-65.   29 DE SEPTIEMBRE (fila 61): AN-13 (bloque nuevo) = SOS con directo: circulo del mapa que abre el directo, silencios locales de emisor y receptor, micro del emisor conmutable y tono de SOS configurable. ORIGEN: 2,5 h imputadas; el reloj de la sesion daba ~0,95 h (13:10-13:55 con el inicio estimado, y 14:58-15:10 de pruebas en aparato), y el resto es su tiempo instalando y probando. La parte de la bodycam (tono, doble F2, micro en SOS) la hizo la sesion BC y va aparte. LINEAS .kt sin commitear, medidas con git: unas 800 en AN (458 en cinco ficheros nuevos; unas 90 son el boton PTT movido de Operations, no codigo nuevo).</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octubre 2026</t>
        </is>
      </c>
      <c r="K3" s="2" t="n"/>
      <c r="L3" s="2" t="n"/>
      <c r="M3" s="2" t="n"/>
      <c r="N3" s="2" t="n"/>
      <c r="O3" s="2" t="n"/>
    </row>
    <row r="4">
      <c r="A4" s="18" t="n">
        <v>46297</v>
      </c>
      <c r="B4" s="19" t="inlineStr">
        <is>
          <t>BC</t>
        </is>
      </c>
      <c r="C4" s="19" t="inlineStr">
        <is>
          <t>BC-17</t>
        </is>
      </c>
      <c r="D4" s="19" t="n">
        <v>2</v>
      </c>
      <c r="E4" s="19" t="inlineStr">
        <is>
          <t>Transcripcion del audio de la evidencia con Whisper en la bodycam (rama dev_whisper_text): whisper.cpp 1.9.4 compilado para la W1 (A53, armv8-a) con modelo tiny multilingue dentro del APK; extraccion del audio a PCM 16 kHz, transcripcion por trozos de 60 s cortados en silencio y que cede la CPU si se graba otro incidente; JSON del contrato cifrado en FEVD y subida inmediata kind=transcript; pantalla "Transcribing..." con tope de 90 s antes de la pregunta de subir; entrega al telefono por BT (TRANSCRIPT_READY / TRANSCRIPT / TRANSCRIPT_ERROR, unit_id en STATUS). Contrato comun TRANSCRIPT-FORMAT acordado con la sesion del movil. Compila y empaqueta; SIN PROBAR EN LA W1 (no disponible)</t>
        </is>
      </c>
      <c r="F4" s="19" t="inlineStr">
        <is>
          <t>sin commitear</t>
        </is>
      </c>
      <c r="G4" s="19" t="inlineStr">
        <is>
          <t>No</t>
        </is>
      </c>
      <c r="H4" s="19" t="inlineStr">
        <is>
          <t>2,5 h indicadas por el usuario; reparto 2 / 0,5 entre BC y NX estimado</t>
        </is>
      </c>
      <c r="J4" s="4" t="inlineStr">
        <is>
          <t>Aplicación</t>
        </is>
      </c>
      <c r="K4" s="4" t="inlineStr">
        <is>
          <t>Bloques</t>
        </is>
      </c>
      <c r="L4" s="4" t="inlineStr">
        <is>
          <t>Días activ.</t>
        </is>
      </c>
      <c r="M4" s="4" t="inlineStr">
        <is>
          <t>Líneas código</t>
        </is>
      </c>
      <c r="N4" s="4" t="inlineStr">
        <is>
          <t>Horas</t>
        </is>
      </c>
      <c r="O4" s="4" t="inlineStr">
        <is>
          <t>Importe</t>
        </is>
      </c>
    </row>
    <row r="5">
      <c r="A5" s="18" t="n">
        <v>46297</v>
      </c>
      <c r="B5" s="19" t="inlineStr">
        <is>
          <t>NX</t>
        </is>
      </c>
      <c r="C5" s="19" t="inlineStr">
        <is>
          <t>NX-5</t>
        </is>
      </c>
      <c r="D5" s="19" t="n">
        <v>0.5</v>
      </c>
      <c r="E5" s="19" t="inlineStr">
        <is>
          <t>Backend acepta kind=transcript (rama dev_whisper_text de aeria-nexus): UploadKind.TRANSCRIPT, migracion 0016, clave de almacen, fuera de la lista de piezas del panel y sin disparar el analisis; 3 tests nuevos, 280 en verde. Contrato transcript-format.md movido a aeria-contracts con su entrada en el CHANGELOG</t>
        </is>
      </c>
      <c r="F5" s="19" t="inlineStr">
        <is>
          <t>sin commitear</t>
        </is>
      </c>
      <c r="G5" s="19" t="inlineStr">
        <is>
          <t>No</t>
        </is>
      </c>
      <c r="H5" s="19" t="inlineStr">
        <is>
          <t>ver fila anterior</t>
        </is>
      </c>
      <c r="J5" s="13" t="inlineStr">
        <is>
          <t>BodyCamServer</t>
        </is>
      </c>
      <c r="K5" s="11" t="inlineStr">
        <is>
          <t>BC-17, BC-18</t>
        </is>
      </c>
      <c r="L5" s="13">
        <f>SUMPRODUCT(($B$4:$B$65="BC")/COUNTIFS($A$4:$A$65,$A$4:$A$65&amp;"",$B$4:$B$65,$B$4:$B$65&amp;""))</f>
        <v/>
      </c>
      <c r="M5" s="13" t="n">
        <v>1401</v>
      </c>
      <c r="N5" s="13">
        <f>SUMIFS($D$4:$D$65,$B$4:$B$65,"BC",$G$4:$G$65,"&lt;&gt;Sí")</f>
        <v/>
      </c>
      <c r="O5" s="9">
        <f>N5*$K$9</f>
        <v/>
      </c>
    </row>
    <row r="6" s="15">
      <c r="A6" s="18" t="n">
        <v>46298</v>
      </c>
      <c r="B6" s="19" t="inlineStr">
        <is>
          <t>AN</t>
        </is>
      </c>
      <c r="C6" s="19" t="inlineStr">
        <is>
          <t>AN-14</t>
        </is>
      </c>
      <c r="D6" s="19" t="n">
        <v>1.5</v>
      </c>
      <c r="E6" s="19" t="inlineStr">
        <is>
          <t>Reinicio de la boveda de evidencia cuando se olvida la contrasena (rama dev_back_connection). La contrasena sigue sin poder recuperarse: se anade un reinicio autorizado con el PIN de identidad. Enlace "Forgot password?" en Evidence Vault, aviso de lo que se pierde, PIN con el teclado de siempre (los fallos cuentan contra el limite del desbloqueo), borrado de vault.key y de la cache descifrada y paso al formulario de contrasena nueva. Los .fev no se borran y la copia de Nexus no se toca. Evento de auditoria BOVEDA_REINICIADA. Identificador propio por boveda (vault:v1:&lt;8 hex&gt;) para que la evidencia anterior salga NO KEY y no como abrible. Analisis previo de la solucion frente al modelo IAM. COMPILA, SIN PROBAR EN APARATO</t>
        </is>
      </c>
      <c r="F6" s="19" t="inlineStr">
        <is>
          <t>sin commitear</t>
        </is>
      </c>
      <c r="G6" s="19" t="inlineStr">
        <is>
          <t>No</t>
        </is>
      </c>
      <c r="H6" s="19" t="inlineStr">
        <is>
          <t>1,5 h</t>
        </is>
      </c>
      <c r="J6" s="13" t="inlineStr">
        <is>
          <t>AeriaNexusPrototype</t>
        </is>
      </c>
      <c r="K6" s="11" t="inlineStr">
        <is>
          <t>AN-14, AN-15, AN-16</t>
        </is>
      </c>
      <c r="L6" s="13">
        <f>SUMPRODUCT(($B$4:$B$65="AN")/COUNTIFS($A$4:$A$65,$A$4:$A$65&amp;"",$B$4:$B$65,$B$4:$B$65&amp;""))</f>
        <v/>
      </c>
      <c r="M6" s="13" t="n">
        <v>1880</v>
      </c>
      <c r="N6" s="13">
        <f>SUMIFS($D$4:$D$65,$B$4:$B$65,"AN",$G$4:$G$65,"&lt;&gt;Sí")</f>
        <v/>
      </c>
      <c r="O6" s="9">
        <f>N6*$K$9</f>
        <v/>
      </c>
    </row>
    <row r="7" s="15">
      <c r="A7" s="18" t="n">
        <v>46304</v>
      </c>
      <c r="B7" s="19" t="inlineStr">
        <is>
          <t>BC</t>
        </is>
      </c>
      <c r="C7" s="19" t="inlineStr">
        <is>
          <t>BC-18</t>
        </is>
      </c>
      <c r="D7" s="19" t="n">
        <v>2</v>
      </c>
      <c r="E7" s="19" t="inlineStr">
        <is>
          <t>Subida rechazada por la credencial y coordinacion con backend y movil por las altas desde el panel y la suspension de perfiles (rama dev_whisper_text). Revision de la unidad contra iam-session.md: no mira roles ni alcances. ChunkedUploader lee el motivo de un 401/403 (cabecera X-Error-Code o code del cuerpo), corta sin reintentos y suelta el token prestado salvo insufficient_scope; lo pendiente espera a un token nuevo. Motivo al telefono por BT: UPLOAD_REJECTED y campo rejected en UPLOAD_LIST. Clave nueva officer_user_id en Upload-Metadata (quien grabo) para que el backend deje de atribuir por la sesion que sube. El token sobrevive a la caida del Bluetooth y se retira al acreditarse otro telefono. Contrato escrito en aeria-contracts/upload-protocol.md 5.3 y docs/UPLOAD-PROTOCOL.md. COMPILA; SIN PROBAR EN LA W1 NI CONTRA EL BACKEND</t>
        </is>
      </c>
      <c r="F7" s="19" t="inlineStr">
        <is>
          <t>sin commitear</t>
        </is>
      </c>
      <c r="G7" s="19" t="inlineStr">
        <is>
          <t>No</t>
        </is>
      </c>
      <c r="H7" s="19" t="inlineStr">
        <is>
          <t>2 h</t>
        </is>
      </c>
      <c r="J7" s="13" t="inlineStr">
        <is>
          <t>aeria-nexus (backend)</t>
        </is>
      </c>
      <c r="K7" s="11" t="inlineStr">
        <is>
          <t>NX-5, NX-6, NX-7, NX-8, NX-9, NX-10, NX-11, NX-12</t>
        </is>
      </c>
      <c r="L7" s="13">
        <f>SUMPRODUCT(($B$4:$B$65="NX")/COUNTIFS($A$4:$A$65,$A$4:$A$65&amp;"",$B$4:$B$65,$B$4:$B$65&amp;""))</f>
        <v/>
      </c>
      <c r="M7" s="13" t="n">
        <v>7576</v>
      </c>
      <c r="N7" s="13">
        <f>SUMIFS($D$4:$D$65,$B$4:$B$65,"NX",$G$4:$G$65,"&lt;&gt;Sí")</f>
        <v/>
      </c>
      <c r="O7" s="9">
        <f>N7*$K$9</f>
        <v/>
      </c>
    </row>
    <row r="8" s="15">
      <c r="A8" s="18" t="n">
        <v>46304</v>
      </c>
      <c r="B8" s="19" t="inlineStr">
        <is>
          <t>NX</t>
        </is>
      </c>
      <c r="C8" s="19" t="inlineStr">
        <is>
          <t>NX-6</t>
        </is>
      </c>
      <c r="D8" s="19" t="n">
        <v>2</v>
      </c>
      <c r="E8" s="19" t="inlineStr">
        <is>
          <t>Tres niveles de usuario y altas desde el panel (rama dev_whisper_text de aeria-nexus). superadmin / admin / user como paquetes de los siete roles IAM, que no se tocan. Endpoints /api/users/ (alta, cambio de nivel, suspension, acceso al panel con TOTP) y pantalla /users con codigo QR; el menu ensena a quien ha entrado. Arreglado el CSRF del panel: ningun POST funcionaba en el navegador. Codigos de error estables en los 401/403 (cuerpo y cabecera X-Error-Code). El backend entrega nombre, rango y placa al telefono (profile en sesion y enrolamiento). Atribucion de la evidencia a quien la grabo (officer_user_id, NOAGENT) y piezas de un incidente atadas entre telefonos distintos. Endpoints de SOS (start, heartbeat, stop), que daban 404, y sesion restringida sos_only para que el SOS de un agente suspendido llegue; sin grabacion en la nube de Agora. Coordinacion y revision de las sesiones del movil y de la bodycam contra iam-session.md; contrato en aeria-contracts (iam-session 3.1, 5.7, 5.8, 6 y 9; upload-protocol 5.1 y 5.2). Migraciones 0017 y 0018. 333 tests en verde, 53 nuevos. LA PANTALLA /users NO SE HA ABIERTO EN UN NAVEGADOR; nada probado con dispositivos reales</t>
        </is>
      </c>
      <c r="F8" s="19" t="inlineStr">
        <is>
          <t>sin commitear</t>
        </is>
      </c>
      <c r="G8" s="19" t="inlineStr">
        <is>
          <t>No</t>
        </is>
      </c>
      <c r="H8" s="19" t="inlineStr">
        <is>
          <t>2 h</t>
        </is>
      </c>
      <c r="J8" s="10" t="inlineStr">
        <is>
          <t>TOTAL DEL MES</t>
        </is>
      </c>
      <c r="K8" s="13">
        <f>SUMPRODUCT(($C$4:$C$65&lt;&gt;"")/COUNTIF($C$4:$C$65,$C$4:$C$65&amp;""))</f>
        <v/>
      </c>
      <c r="L8" s="13">
        <f>SUMPRODUCT(($A$4:$A$65&lt;&gt;"")/COUNTIF($A$4:$A$65,$A$4:$A$65&amp;""))</f>
        <v/>
      </c>
      <c r="M8" s="10">
        <f>SUM(M5:M7)</f>
        <v/>
      </c>
      <c r="N8" s="10">
        <f>SUM(N5:N7)</f>
        <v/>
      </c>
      <c r="O8" s="12">
        <f>SUM(O5:O7)</f>
        <v/>
      </c>
    </row>
    <row r="9" s="15">
      <c r="A9" s="18" t="n">
        <v>46304</v>
      </c>
      <c r="B9" s="19" t="inlineStr">
        <is>
          <t>AN</t>
        </is>
      </c>
      <c r="C9" s="19" t="inlineStr">
        <is>
          <t>AN-15</t>
        </is>
      </c>
      <c r="D9" s="19" t="n">
        <v>2</v>
      </c>
      <c r="E9" s="19" t="inlineStr">
        <is>
          <t>Altas desde el panel, perfil del agente y suspension de perfiles en el telefono (rama dev_back_connection). Revision del telefono contra iam-session.md y coordinacion con las sesiones del backend y de la bodycam: no mira roles ni alcances; se corrigen en el contrato la declaracion de la atadura y cuatro frases que no describian al telefono. Alta del agente: el identificador se teclea entero (formulario OFFICER ID, minusculas, sin espacios, misma regla que el panel) en vez de ir fijo en el codigo. Mensajes propios en ingles segun el code del backend (perfil suspendido, revocado, inexistente, telefono no reconocido). Nombre, rango y placa llegan del backend en el alta y en cada sesion, se guardan en el telefono y son los que firma la atadura con la bodycam. Agente suspendido o revocado a mitad de turno: se deja de reintentar, se descarta el token, se avisa al agente y sigue grabando en local; CHECK AGAIN o el siguiente desbloqueo vuelven a preguntar. Sesion restringida sos_only para que el SOS de un suspendido llegue al backend, prestada tambien a la bodycam. COMPILA Y PASAN LOS TESTS DE UNIDAD; SIN PROBAR EN APARATO NI CONTRA EL BACKEND</t>
        </is>
      </c>
      <c r="F9" s="19" t="inlineStr">
        <is>
          <t>sin commitear</t>
        </is>
      </c>
      <c r="G9" s="19" t="inlineStr">
        <is>
          <t>No</t>
        </is>
      </c>
      <c r="H9" s="19" t="inlineStr">
        <is>
          <t>2 h</t>
        </is>
      </c>
      <c r="J9" s="10" t="inlineStr">
        <is>
          <t>Tarifa (€/h)</t>
        </is>
      </c>
      <c r="K9" s="13" t="n">
        <v>20</v>
      </c>
      <c r="L9" s="2" t="n"/>
      <c r="M9" s="2" t="n"/>
      <c r="N9" s="2" t="n"/>
      <c r="O9" s="2" t="n"/>
    </row>
    <row r="10">
      <c r="A10" s="18" t="n">
        <v>46305</v>
      </c>
      <c r="B10" s="19" t="inlineStr">
        <is>
          <t>NX</t>
        </is>
      </c>
      <c r="C10" s="19" t="inlineStr">
        <is>
          <t>NX-6</t>
        </is>
      </c>
      <c r="D10" s="19" t="n">
        <v>0.5</v>
      </c>
      <c r="E10" s="19" t="inlineStr">
        <is>
          <t>Ajustes del alta tras la respuesta de las dos apps (rama dev_whisper_text): reintento idempotente del enrolamiento del agente, codigos en el 409 del alta de dispositivo, emparejamientos con caducidad en milisegundos y el fin de turno suelta la camara en la misma peticion</t>
        </is>
      </c>
      <c r="F10" s="19" t="inlineStr">
        <is>
          <t>7effe73, 498cd98</t>
        </is>
      </c>
      <c r="G10" s="19" t="inlineStr">
        <is>
          <t>No</t>
        </is>
      </c>
      <c r="H10" s="19" t="inlineStr">
        <is>
          <t>reloj de sesion 0,3 h</t>
        </is>
      </c>
      <c r="J10" s="2" t="n"/>
      <c r="K10" s="2" t="n"/>
      <c r="L10" s="2" t="n"/>
      <c r="M10" s="2" t="n"/>
      <c r="N10" s="2" t="n"/>
      <c r="O10" s="2" t="n"/>
    </row>
    <row r="11">
      <c r="A11" s="18" t="n">
        <v>46307</v>
      </c>
      <c r="B11" s="19" t="inlineStr">
        <is>
          <t>NX</t>
        </is>
      </c>
      <c r="C11" s="19" t="inlineStr">
        <is>
          <t>NX-6</t>
        </is>
      </c>
      <c r="D11" s="19" t="n">
        <v>1.5</v>
      </c>
      <c r="E11" s="19" t="inlineStr">
        <is>
          <t>Primera vez que el panel se abre en el navegador: boton de salir, Users visible para el superadmin, rango como desplegable obligatorio, nombre y apellidos en dos campos y cuentas personales en local</t>
        </is>
      </c>
      <c r="F11" s="19" t="inlineStr">
        <is>
          <t>d766513, f2ae93e</t>
        </is>
      </c>
      <c r="G11" s="19" t="inlineStr">
        <is>
          <t>No</t>
        </is>
      </c>
      <c r="H11" s="19" t="inlineStr">
        <is>
          <t>reloj de sesion 1,2 h</t>
        </is>
      </c>
      <c r="J11" s="2" t="n"/>
      <c r="K11" s="2" t="n"/>
      <c r="L11" s="2" t="n"/>
      <c r="M11" s="2" t="n"/>
      <c r="N11" s="2" t="n"/>
      <c r="O11" s="2" t="n"/>
    </row>
    <row r="12">
      <c r="A12" s="18" t="n">
        <v>46310</v>
      </c>
      <c r="B12" s="19" t="inlineStr">
        <is>
          <t>NX</t>
        </is>
      </c>
      <c r="C12" s="19" t="inlineStr">
        <is>
          <t>NX-7</t>
        </is>
      </c>
      <c r="D12" s="19" t="n">
        <v>0.5</v>
      </c>
      <c r="E12" s="19" t="inlineStr">
        <is>
          <t>Documento de aclaracion IAM contrastado con los Excel IAM y con las dos apps; informe de contradicciones para el manager, en espanol y en ingles (docs/)</t>
        </is>
      </c>
      <c r="F12" s="19" t="inlineStr">
        <is>
          <t>sin commitear</t>
        </is>
      </c>
      <c r="G12" s="19" t="inlineStr">
        <is>
          <t>No</t>
        </is>
      </c>
      <c r="H12" s="19" t="inlineStr">
        <is>
          <t>reloj de sesion 0,4 h</t>
        </is>
      </c>
      <c r="J12" s="2" t="n"/>
      <c r="K12" s="2" t="n"/>
      <c r="L12" s="2" t="n"/>
      <c r="M12" s="2" t="n"/>
      <c r="N12" s="2" t="n"/>
      <c r="O12" s="2" t="n"/>
    </row>
    <row r="13">
      <c r="A13" s="18" t="n">
        <v>46311</v>
      </c>
      <c r="B13" s="19" t="inlineStr">
        <is>
          <t>NX</t>
        </is>
      </c>
      <c r="C13" s="19" t="inlineStr">
        <is>
          <t>NX-8</t>
        </is>
      </c>
      <c r="D13" s="19" t="n">
        <v>1</v>
      </c>
      <c r="E13" s="19" t="inlineStr">
        <is>
          <t>Workflows del piloto en el backend: recibo de aceptacion firmado, desfase de reloj del dispositivo, rechazo de unidades revocadas o no enroladas, version minima de la app y auditoria con cadena de hashes</t>
        </is>
      </c>
      <c r="F13" s="19" t="inlineStr">
        <is>
          <t>5858d8f</t>
        </is>
      </c>
      <c r="G13" s="19" t="inlineStr">
        <is>
          <t>No</t>
        </is>
      </c>
      <c r="H13" s="19" t="inlineStr">
        <is>
          <t>reloj de sesion 1 h</t>
        </is>
      </c>
      <c r="J13" s="2" t="n"/>
      <c r="K13" s="2" t="n"/>
      <c r="L13" s="2" t="n"/>
      <c r="M13" s="2" t="n"/>
      <c r="N13" s="2" t="n"/>
      <c r="O13" s="2" t="n"/>
    </row>
    <row r="14">
      <c r="A14" s="18" t="n">
        <v>46311</v>
      </c>
      <c r="B14" s="19" t="inlineStr">
        <is>
          <t>NX</t>
        </is>
      </c>
      <c r="C14" s="19" t="inlineStr">
        <is>
          <t>NX-9</t>
        </is>
      </c>
      <c r="D14" s="19" t="n">
        <v>1</v>
      </c>
      <c r="E14" s="19" t="inlineStr">
        <is>
          <t>Seguridad: todo exige sesion por defecto (con test que recorre todas las rutas), /media cerrado, cache de evidencia en claro de vida corta, enrolamiento rechaza identidades revocadas y atribucion por binding_id</t>
        </is>
      </c>
      <c r="F14" s="19" t="inlineStr">
        <is>
          <t>a96a4ce</t>
        </is>
      </c>
      <c r="G14" s="19" t="inlineStr">
        <is>
          <t>No</t>
        </is>
      </c>
      <c r="H14" s="19" t="inlineStr">
        <is>
          <t>reloj de sesion 0,8 h</t>
        </is>
      </c>
      <c r="J14" s="2" t="n"/>
      <c r="K14" s="2" t="n"/>
      <c r="L14" s="2" t="n"/>
      <c r="M14" s="2" t="n"/>
      <c r="N14" s="2" t="n"/>
      <c r="O14" s="2" t="n"/>
    </row>
    <row r="15">
      <c r="A15" s="18" t="n">
        <v>46311</v>
      </c>
      <c r="B15" s="19" t="inlineStr">
        <is>
          <t>NX</t>
        </is>
      </c>
      <c r="C15" s="19" t="inlineStr">
        <is>
          <t>NX-10</t>
        </is>
      </c>
      <c r="D15" s="19" t="n">
        <v>1</v>
      </c>
      <c r="E15" s="19" t="inlineStr">
        <is>
          <t>Panel: pantallas de auditoria, cadena de custodia del incidente y dispositivos; nuevo alta de camaras con permiso de un solo uso y revocaciones que se levantan</t>
        </is>
      </c>
      <c r="F15" s="19" t="inlineStr">
        <is>
          <t>f2ae93e</t>
        </is>
      </c>
      <c r="G15" s="19" t="inlineStr">
        <is>
          <t>No</t>
        </is>
      </c>
      <c r="H15" s="19" t="inlineStr">
        <is>
          <t>reloj de sesion 1 h</t>
        </is>
      </c>
      <c r="J15" s="2" t="n"/>
      <c r="K15" s="2" t="n"/>
      <c r="L15" s="2" t="n"/>
      <c r="M15" s="2" t="n"/>
      <c r="N15" s="2" t="n"/>
      <c r="O15" s="2" t="n"/>
    </row>
    <row r="16">
      <c r="A16" s="18" t="n">
        <v>46313</v>
      </c>
      <c r="B16" s="19" t="inlineStr">
        <is>
          <t>NX</t>
        </is>
      </c>
      <c r="C16" s="19" t="inlineStr">
        <is>
          <t>NX-11</t>
        </is>
      </c>
      <c r="D16" s="19" t="n">
        <v>3</v>
      </c>
      <c r="E16" s="19" t="inlineStr">
        <is>
          <t>SOS en directo en el panel por Agora: endpoint de SOS en curso, pagina /sos, aviso en todas las pantallas y visor como espectador; prueba completa con un telefono real contra el backend local</t>
        </is>
      </c>
      <c r="F16" s="19" t="inlineStr">
        <is>
          <t>sin commitear</t>
        </is>
      </c>
      <c r="G16" s="19" t="inlineStr">
        <is>
          <t>No</t>
        </is>
      </c>
      <c r="H16" s="19" t="inlineStr">
        <is>
          <t>3 h</t>
        </is>
      </c>
      <c r="J16" s="2" t="n"/>
      <c r="K16" s="2" t="n"/>
      <c r="L16" s="2" t="n"/>
      <c r="M16" s="2" t="n"/>
      <c r="N16" s="2" t="n"/>
      <c r="O16" s="2" t="n"/>
    </row>
    <row r="17">
      <c r="A17" s="18" t="n">
        <v>46314</v>
      </c>
      <c r="B17" s="19" t="inlineStr">
        <is>
          <t>NX</t>
        </is>
      </c>
      <c r="C17" s="19" t="inlineStr">
        <is>
          <t>NX-12</t>
        </is>
      </c>
      <c r="D17" s="19" t="n"/>
      <c r="E17" s="19" t="inlineStr">
        <is>
          <t>Alta por QR desde el panel (propuesta revisada con la sesion del telefono, backend y panel) y guia de alta en Word. Sin terminar</t>
        </is>
      </c>
      <c r="F17" s="19" t="inlineStr">
        <is>
          <t>sin commitear</t>
        </is>
      </c>
      <c r="G17" s="19" t="inlineStr">
        <is>
          <t>No</t>
        </is>
      </c>
      <c r="H17" s="19" t="inlineStr">
        <is>
          <t>pendiente: se fija al terminar</t>
        </is>
      </c>
      <c r="J17" s="2" t="n"/>
      <c r="K17" s="2" t="n"/>
      <c r="L17" s="2" t="n"/>
      <c r="M17" s="2" t="n"/>
      <c r="N17" s="2" t="n"/>
      <c r="O17" s="2" t="n"/>
    </row>
    <row r="18" s="15">
      <c r="A18" s="18" t="n">
        <v>46316</v>
      </c>
      <c r="B18" s="19" t="inlineStr">
        <is>
          <t>AN</t>
        </is>
      </c>
      <c r="C18" s="19" t="inlineStr">
        <is>
          <t>AN-16</t>
        </is>
      </c>
      <c r="D18" s="19" t="n">
        <v>2</v>
      </c>
      <c r="E18" s="19" t="inlineStr">
        <is>
          <t>Avisos SOS del mapa que no desaparecian e historial de SOS (rama dev_back_connection). Diagnostico: el banner y el tooltip del SOS de otro agente solo se quitaban con su cancelacion, que se pierde si el emisor se queda sin red, se le cierra la app o se apaga; el aviso "Signal cut" no caduca nunca y el marcador gris "Last seen" solo se borra si el agente sale del canal de forma ordenada. Ahora un SOS del que no se oye nada en 10 s se da por cortado (tambien si el emisor sale del canal), con la hora de su ultima senal. Boton de cerrar en el banner del SOS y en el marcador "Last seen". Boton de aviso junto al de centrar con contador del total de SOS y lista de todos los SOS registrados (agente, origen, fecha, inicio y fin), solo lectura, leida del backend (GET sos) con copia local si no hay conexion. El telefono que lleva la bodycam avisa al backend de su SOS (inicio, latidos y fin), que antes no quedaba registrado. Coordinado con la sesion del backend (contrato aeria-contracts sos-and-proxy.md 2.6). COMPILA Y PASAN LOS TESTS DE UNIDAD; SIN PROBAR EN APARATO</t>
        </is>
      </c>
      <c r="F18" s="19" t="inlineStr">
        <is>
          <t>sin commitear</t>
        </is>
      </c>
      <c r="G18" s="19" t="inlineStr">
        <is>
          <t>No</t>
        </is>
      </c>
      <c r="H18" s="19" t="inlineStr">
        <is>
          <t>2 h</t>
        </is>
      </c>
      <c r="J18" s="2" t="n"/>
      <c r="K18" s="2" t="n"/>
      <c r="L18" s="2" t="n"/>
      <c r="M18" s="2" t="n"/>
      <c r="N18" s="2" t="n"/>
      <c r="O18" s="2" t="n"/>
    </row>
    <row r="19">
      <c r="A19" s="18" t="n"/>
      <c r="B19" s="19" t="n"/>
      <c r="C19" s="19" t="n"/>
      <c r="D19" s="19" t="n"/>
      <c r="E19" s="19" t="n"/>
      <c r="F19" s="19" t="n"/>
      <c r="G19" s="19" t="n"/>
      <c r="H19" s="19" t="n"/>
      <c r="J19" s="2" t="n"/>
      <c r="K19" s="2" t="n"/>
      <c r="L19" s="2" t="n"/>
      <c r="M19" s="2" t="n"/>
      <c r="N19" s="2" t="n"/>
      <c r="O19" s="2" t="n"/>
    </row>
    <row r="20">
      <c r="A20" s="18" t="n"/>
      <c r="B20" s="19" t="n"/>
      <c r="C20" s="19" t="n"/>
      <c r="D20" s="19" t="n"/>
      <c r="E20" s="19" t="n"/>
      <c r="F20" s="19" t="n"/>
      <c r="G20" s="19" t="n"/>
      <c r="H20" s="19" t="n"/>
      <c r="J20" s="2" t="n"/>
      <c r="K20" s="2" t="n"/>
      <c r="L20" s="2" t="n"/>
      <c r="M20" s="2" t="n"/>
      <c r="N20" s="2" t="n"/>
      <c r="O20" s="2" t="n"/>
    </row>
    <row r="21" ht="15.75" customHeight="1" s="15">
      <c r="A21" s="18" t="n"/>
      <c r="B21" s="19" t="n"/>
      <c r="C21" s="19" t="n"/>
      <c r="D21" s="19" t="n"/>
      <c r="E21" s="19" t="n"/>
      <c r="F21" s="19" t="n"/>
      <c r="G21" s="19" t="n"/>
      <c r="H21" s="19" t="n"/>
      <c r="J21" s="2" t="n"/>
      <c r="K21" s="2" t="n"/>
      <c r="L21" s="2" t="n"/>
      <c r="M21" s="2" t="n"/>
      <c r="N21" s="2" t="n"/>
      <c r="O21" s="2" t="n"/>
    </row>
    <row r="22" ht="15.75" customHeight="1" s="15">
      <c r="A22" s="18" t="n"/>
      <c r="B22" s="19" t="n"/>
      <c r="C22" s="19" t="n"/>
      <c r="D22" s="19" t="n"/>
      <c r="E22" s="19" t="n"/>
      <c r="F22" s="19" t="n"/>
      <c r="G22" s="19" t="n"/>
      <c r="H22" s="19" t="n"/>
      <c r="J22" s="2" t="n"/>
      <c r="K22" s="2" t="n"/>
      <c r="L22" s="2" t="n"/>
      <c r="M22" s="2" t="n"/>
      <c r="N22" s="2" t="n"/>
      <c r="O22" s="2" t="n"/>
    </row>
    <row r="23" ht="15.75" customHeight="1" s="15">
      <c r="A23" s="18" t="n"/>
      <c r="B23" s="19" t="n"/>
      <c r="C23" s="19" t="n"/>
      <c r="D23" s="19" t="n"/>
      <c r="E23" s="19" t="n"/>
      <c r="F23" s="19" t="n"/>
      <c r="G23" s="19" t="n"/>
      <c r="H23" s="19" t="n"/>
      <c r="J23" s="2" t="n"/>
      <c r="K23" s="2" t="n"/>
      <c r="L23" s="2" t="n"/>
      <c r="M23" s="2" t="n"/>
      <c r="N23" s="2" t="n"/>
      <c r="O23" s="2" t="n"/>
    </row>
    <row r="24" ht="15.75" customHeight="1" s="15">
      <c r="A24" s="18" t="n"/>
      <c r="B24" s="19" t="n"/>
      <c r="C24" s="19" t="n"/>
      <c r="D24" s="19" t="n"/>
      <c r="E24" s="19" t="n"/>
      <c r="F24" s="19" t="n"/>
      <c r="G24" s="19" t="n"/>
      <c r="H24" s="19" t="n"/>
      <c r="J24" s="2" t="n"/>
      <c r="K24" s="2" t="n"/>
      <c r="L24" s="2" t="n"/>
      <c r="M24" s="2" t="n"/>
      <c r="N24" s="2" t="n"/>
      <c r="O24" s="2" t="n"/>
    </row>
    <row r="25" ht="15.75" customHeight="1" s="15">
      <c r="A25" s="18" t="n"/>
      <c r="B25" s="19" t="n"/>
      <c r="C25" s="19" t="n"/>
      <c r="D25" s="19" t="n"/>
      <c r="E25" s="19" t="n"/>
      <c r="F25" s="19" t="n"/>
      <c r="G25" s="19" t="n"/>
      <c r="H25" s="19" t="n"/>
      <c r="J25" s="2" t="n"/>
      <c r="K25" s="2" t="n"/>
      <c r="L25" s="2" t="n"/>
      <c r="M25" s="2" t="n"/>
      <c r="N25" s="2" t="n"/>
      <c r="O25" s="2" t="n"/>
    </row>
    <row r="26" ht="15.75" customHeight="1" s="15">
      <c r="A26" s="18" t="n"/>
      <c r="B26" s="19" t="n"/>
      <c r="C26" s="19" t="n"/>
      <c r="D26" s="19" t="n"/>
      <c r="E26" s="19" t="n"/>
      <c r="F26" s="19" t="n"/>
      <c r="G26" s="19" t="n"/>
      <c r="H26" s="19" t="n"/>
      <c r="J26" s="2" t="n"/>
      <c r="K26" s="2" t="n"/>
      <c r="L26" s="2" t="n"/>
      <c r="M26" s="2" t="n"/>
      <c r="N26" s="2" t="n"/>
      <c r="O26" s="2" t="n"/>
    </row>
    <row r="27" ht="15.75" customHeight="1" s="15">
      <c r="A27" s="18" t="n"/>
      <c r="B27" s="19" t="n"/>
      <c r="C27" s="19" t="n"/>
      <c r="D27" s="19" t="n"/>
      <c r="E27" s="19" t="n"/>
      <c r="F27" s="19" t="n"/>
      <c r="G27" s="19" t="n"/>
      <c r="H27" s="19" t="n"/>
      <c r="J27" s="2" t="n"/>
      <c r="K27" s="2" t="n"/>
      <c r="L27" s="2" t="n"/>
      <c r="M27" s="2" t="n"/>
      <c r="N27" s="2" t="n"/>
      <c r="O27" s="2" t="n"/>
    </row>
    <row r="28" ht="15.75" customHeight="1" s="15">
      <c r="A28" s="18" t="n"/>
      <c r="B28" s="19" t="n"/>
      <c r="C28" s="19" t="n"/>
      <c r="D28" s="19" t="n"/>
      <c r="E28" s="19" t="n"/>
      <c r="F28" s="19" t="n"/>
      <c r="G28" s="19" t="n"/>
      <c r="H28" s="19" t="n"/>
      <c r="J28" s="2" t="n"/>
      <c r="K28" s="2" t="n"/>
      <c r="L28" s="2" t="n"/>
      <c r="M28" s="2" t="n"/>
      <c r="N28" s="2" t="n"/>
      <c r="O28" s="2" t="n"/>
    </row>
    <row r="29" ht="15.75" customHeight="1" s="15">
      <c r="A29" s="18" t="n"/>
      <c r="B29" s="19" t="n"/>
      <c r="C29" s="19" t="n"/>
      <c r="D29" s="19" t="n"/>
      <c r="E29" s="19" t="n"/>
      <c r="F29" s="19" t="n"/>
      <c r="G29" s="19" t="n"/>
      <c r="H29" s="19" t="n"/>
      <c r="J29" s="2" t="n"/>
      <c r="K29" s="2" t="n"/>
      <c r="L29" s="2" t="n"/>
      <c r="M29" s="2" t="n"/>
      <c r="N29" s="2" t="n"/>
      <c r="O29" s="2" t="n"/>
    </row>
    <row r="30" ht="15.75" customHeight="1" s="15">
      <c r="A30" s="18" t="n"/>
      <c r="B30" s="19" t="n"/>
      <c r="C30" s="19" t="n"/>
      <c r="D30" s="19" t="n"/>
      <c r="E30" s="19" t="n"/>
      <c r="F30" s="19" t="n"/>
      <c r="G30" s="19" t="n"/>
      <c r="H30" s="19" t="n"/>
      <c r="J30" s="2" t="n"/>
      <c r="K30" s="2" t="n"/>
      <c r="L30" s="2" t="n"/>
      <c r="M30" s="2" t="n"/>
      <c r="N30" s="2" t="n"/>
      <c r="O30" s="2" t="n"/>
    </row>
    <row r="31" ht="15.75" customHeight="1" s="15">
      <c r="A31" s="18" t="n"/>
      <c r="B31" s="19" t="n"/>
      <c r="C31" s="19" t="n"/>
      <c r="D31" s="19" t="n"/>
      <c r="E31" s="19" t="n"/>
      <c r="F31" s="19" t="n"/>
      <c r="G31" s="19" t="n"/>
      <c r="H31" s="19" t="n"/>
      <c r="J31" s="2" t="n"/>
      <c r="K31" s="2" t="n"/>
      <c r="L31" s="2" t="n"/>
      <c r="M31" s="2" t="n"/>
      <c r="N31" s="2" t="n"/>
      <c r="O31" s="2" t="n"/>
    </row>
    <row r="32" ht="15.75" customHeight="1" s="15">
      <c r="A32" s="18" t="n"/>
      <c r="B32" s="19" t="n"/>
      <c r="C32" s="19" t="n"/>
      <c r="D32" s="19" t="n"/>
      <c r="E32" s="19" t="n"/>
      <c r="F32" s="19" t="n"/>
      <c r="G32" s="19" t="n"/>
      <c r="H32" s="19" t="n"/>
      <c r="J32" s="2" t="n"/>
      <c r="K32" s="2" t="n"/>
      <c r="L32" s="2" t="n"/>
      <c r="M32" s="2" t="n"/>
      <c r="N32" s="2" t="n"/>
      <c r="O32" s="2" t="n"/>
    </row>
    <row r="33" ht="15.75" customHeight="1" s="15">
      <c r="A33" s="18" t="n"/>
      <c r="B33" s="19" t="n"/>
      <c r="C33" s="19" t="n"/>
      <c r="D33" s="19" t="n"/>
      <c r="E33" s="19" t="n"/>
      <c r="F33" s="19" t="n"/>
      <c r="G33" s="19" t="n"/>
      <c r="H33" s="19" t="n"/>
      <c r="J33" s="2" t="n"/>
      <c r="K33" s="2" t="n"/>
      <c r="L33" s="2" t="n"/>
      <c r="M33" s="2" t="n"/>
      <c r="N33" s="2" t="n"/>
      <c r="O33" s="2" t="n"/>
    </row>
    <row r="34" ht="15.75" customHeight="1" s="15">
      <c r="A34" s="18" t="n"/>
      <c r="B34" s="19" t="n"/>
      <c r="C34" s="19" t="n"/>
      <c r="D34" s="19" t="n"/>
      <c r="E34" s="19" t="n"/>
      <c r="F34" s="19" t="n"/>
      <c r="G34" s="19" t="n"/>
      <c r="H34" s="19" t="n"/>
      <c r="J34" s="2" t="n"/>
      <c r="K34" s="2" t="n"/>
      <c r="L34" s="2" t="n"/>
      <c r="M34" s="2" t="n"/>
      <c r="N34" s="2" t="n"/>
      <c r="O34" s="2" t="n"/>
    </row>
    <row r="35" ht="15.75" customHeight="1" s="15">
      <c r="A35" s="18" t="n"/>
      <c r="B35" s="19" t="n"/>
      <c r="C35" s="19" t="n"/>
      <c r="D35" s="19" t="n"/>
      <c r="E35" s="19" t="n"/>
      <c r="F35" s="19" t="n"/>
      <c r="G35" s="19" t="n"/>
      <c r="H35" s="19" t="n"/>
      <c r="J35" s="2" t="n"/>
      <c r="K35" s="2" t="n"/>
      <c r="L35" s="2" t="n"/>
      <c r="M35" s="2" t="n"/>
      <c r="N35" s="2" t="n"/>
      <c r="O35" s="2" t="n"/>
    </row>
    <row r="36" ht="15.75" customHeight="1" s="15">
      <c r="A36" s="18" t="n"/>
      <c r="B36" s="19" t="n"/>
      <c r="C36" s="19" t="n"/>
      <c r="D36" s="19" t="n"/>
      <c r="E36" s="19" t="n"/>
      <c r="F36" s="19" t="n"/>
      <c r="G36" s="19" t="n"/>
      <c r="H36" s="19" t="n"/>
      <c r="J36" s="2" t="n"/>
      <c r="K36" s="2" t="n"/>
      <c r="L36" s="2" t="n"/>
      <c r="M36" s="2" t="n"/>
      <c r="N36" s="2" t="n"/>
      <c r="O36" s="2" t="n"/>
    </row>
    <row r="37" ht="15.75" customHeight="1" s="15">
      <c r="A37" s="18" t="n"/>
      <c r="B37" s="19" t="n"/>
      <c r="C37" s="19" t="n"/>
      <c r="D37" s="19" t="n"/>
      <c r="E37" s="19" t="n"/>
      <c r="F37" s="19" t="n"/>
      <c r="G37" s="19" t="n"/>
      <c r="H37" s="19" t="n"/>
      <c r="J37" s="2" t="n"/>
      <c r="K37" s="2" t="n"/>
      <c r="L37" s="2" t="n"/>
      <c r="M37" s="2" t="n"/>
      <c r="N37" s="2" t="n"/>
      <c r="O37" s="2" t="n"/>
    </row>
    <row r="38" ht="15.75" customHeight="1" s="15">
      <c r="A38" s="18" t="n"/>
      <c r="B38" s="19" t="n"/>
      <c r="C38" s="19" t="n"/>
      <c r="D38" s="19" t="n"/>
      <c r="E38" s="19" t="n"/>
      <c r="F38" s="19" t="n"/>
      <c r="G38" s="19" t="n"/>
      <c r="H38" s="19" t="n"/>
      <c r="J38" s="2" t="n"/>
      <c r="K38" s="2" t="n"/>
      <c r="L38" s="2" t="n"/>
      <c r="M38" s="2" t="n"/>
      <c r="N38" s="2" t="n"/>
      <c r="O38" s="2" t="n"/>
    </row>
    <row r="39" ht="15.75" customHeight="1" s="15">
      <c r="A39" s="18" t="n"/>
      <c r="B39" s="19" t="n"/>
      <c r="C39" s="19" t="n"/>
      <c r="D39" s="19" t="n"/>
      <c r="E39" s="19" t="n"/>
      <c r="F39" s="19" t="n"/>
      <c r="G39" s="19" t="n"/>
      <c r="H39" s="19" t="n"/>
      <c r="J39" s="2" t="n"/>
      <c r="K39" s="2" t="n"/>
      <c r="L39" s="2" t="n"/>
      <c r="M39" s="2" t="n"/>
      <c r="N39" s="2" t="n"/>
      <c r="O39" s="2" t="n"/>
    </row>
    <row r="40" ht="15.75" customHeight="1" s="15">
      <c r="A40" s="18" t="n"/>
      <c r="B40" s="19" t="n"/>
      <c r="C40" s="19" t="n"/>
      <c r="D40" s="19" t="n"/>
      <c r="E40" s="19" t="n"/>
      <c r="F40" s="19" t="n"/>
      <c r="G40" s="19" t="n"/>
      <c r="H40" s="19" t="n"/>
      <c r="J40" s="2" t="n"/>
      <c r="K40" s="2" t="n"/>
      <c r="L40" s="2" t="n"/>
      <c r="M40" s="2" t="n"/>
      <c r="N40" s="2" t="n"/>
      <c r="O40" s="2" t="n"/>
    </row>
    <row r="41" ht="15.75" customHeight="1" s="15">
      <c r="A41" s="18" t="n"/>
      <c r="B41" s="19" t="n"/>
      <c r="C41" s="19" t="n"/>
      <c r="D41" s="19" t="n"/>
      <c r="E41" s="19" t="n"/>
      <c r="F41" s="19" t="n"/>
      <c r="G41" s="19" t="n"/>
      <c r="H41" s="19" t="n"/>
      <c r="J41" s="2" t="n"/>
      <c r="K41" s="2" t="n"/>
      <c r="L41" s="2" t="n"/>
      <c r="M41" s="2" t="n"/>
      <c r="N41" s="2" t="n"/>
      <c r="O41" s="2" t="n"/>
    </row>
    <row r="42" ht="15.75" customHeight="1" s="15">
      <c r="A42" s="18" t="n"/>
      <c r="B42" s="19" t="n"/>
      <c r="C42" s="19" t="n"/>
      <c r="D42" s="19" t="n"/>
      <c r="E42" s="19" t="n"/>
      <c r="F42" s="19" t="n"/>
      <c r="G42" s="19" t="n"/>
      <c r="H42" s="19" t="n"/>
      <c r="J42" s="2" t="n"/>
      <c r="K42" s="2" t="n"/>
      <c r="L42" s="2" t="n"/>
      <c r="M42" s="2" t="n"/>
      <c r="N42" s="2" t="n"/>
      <c r="O42" s="2" t="n"/>
    </row>
    <row r="43" ht="15.75" customHeight="1" s="15">
      <c r="A43" s="18" t="n"/>
      <c r="B43" s="19" t="n"/>
      <c r="C43" s="19" t="n"/>
      <c r="D43" s="19" t="n"/>
      <c r="E43" s="19" t="n"/>
      <c r="F43" s="19" t="n"/>
      <c r="G43" s="19" t="n"/>
      <c r="H43" s="19" t="n"/>
      <c r="J43" s="2" t="n"/>
      <c r="K43" s="2" t="n"/>
      <c r="L43" s="2" t="n"/>
      <c r="M43" s="2" t="n"/>
      <c r="N43" s="2" t="n"/>
      <c r="O43" s="2" t="n"/>
    </row>
    <row r="44" ht="15.75" customHeight="1" s="15">
      <c r="A44" s="18" t="n"/>
      <c r="B44" s="19" t="n"/>
      <c r="C44" s="19" t="n"/>
      <c r="D44" s="19" t="n"/>
      <c r="E44" s="19" t="n"/>
      <c r="F44" s="19" t="n"/>
      <c r="G44" s="19" t="n"/>
      <c r="H44" s="19" t="n"/>
      <c r="J44" s="2" t="n"/>
      <c r="K44" s="2" t="n"/>
      <c r="L44" s="2" t="n"/>
      <c r="M44" s="2" t="n"/>
      <c r="N44" s="2" t="n"/>
      <c r="O44" s="2" t="n"/>
    </row>
    <row r="45" ht="15.75" customHeight="1" s="15">
      <c r="A45" s="18" t="n"/>
      <c r="B45" s="19" t="n"/>
      <c r="C45" s="19" t="n"/>
      <c r="D45" s="19" t="n"/>
      <c r="E45" s="19" t="n"/>
      <c r="F45" s="19" t="n"/>
      <c r="G45" s="19" t="n"/>
      <c r="H45" s="19" t="n"/>
      <c r="J45" s="2" t="n"/>
      <c r="K45" s="2" t="n"/>
      <c r="L45" s="2" t="n"/>
      <c r="M45" s="2" t="n"/>
      <c r="N45" s="2" t="n"/>
      <c r="O45" s="2" t="n"/>
    </row>
    <row r="46" ht="15.75" customHeight="1" s="15">
      <c r="A46" s="18" t="n"/>
      <c r="B46" s="19" t="n"/>
      <c r="C46" s="19" t="n"/>
      <c r="D46" s="19" t="n"/>
      <c r="E46" s="19" t="n"/>
      <c r="F46" s="19" t="n"/>
      <c r="G46" s="19" t="n"/>
      <c r="H46" s="19" t="n"/>
      <c r="J46" s="2" t="n"/>
      <c r="K46" s="2" t="n"/>
      <c r="L46" s="2" t="n"/>
      <c r="M46" s="2" t="n"/>
      <c r="N46" s="2" t="n"/>
      <c r="O46" s="2" t="n"/>
    </row>
    <row r="47" ht="15.75" customHeight="1" s="15">
      <c r="A47" s="18" t="n"/>
      <c r="B47" s="19" t="n"/>
      <c r="C47" s="19" t="n"/>
      <c r="D47" s="19" t="n"/>
      <c r="E47" s="19" t="n"/>
      <c r="F47" s="19" t="n"/>
      <c r="G47" s="19" t="n"/>
      <c r="H47" s="19" t="n"/>
      <c r="J47" s="2" t="n"/>
      <c r="K47" s="2" t="n"/>
      <c r="L47" s="2" t="n"/>
      <c r="M47" s="2" t="n"/>
      <c r="N47" s="2" t="n"/>
      <c r="O47" s="2" t="n"/>
    </row>
    <row r="48" ht="15.75" customHeight="1" s="15">
      <c r="A48" s="18" t="n"/>
      <c r="B48" s="19" t="n"/>
      <c r="C48" s="19" t="n"/>
      <c r="D48" s="19" t="n"/>
      <c r="E48" s="19" t="n"/>
      <c r="F48" s="19" t="n"/>
      <c r="G48" s="19" t="n"/>
      <c r="H48" s="19" t="n"/>
      <c r="J48" s="2" t="n"/>
      <c r="K48" s="2" t="n"/>
      <c r="L48" s="2" t="n"/>
      <c r="M48" s="2" t="n"/>
      <c r="N48" s="2" t="n"/>
      <c r="O48" s="2" t="n"/>
    </row>
    <row r="49" ht="15.75" customHeight="1" s="15">
      <c r="A49" s="18" t="n"/>
      <c r="B49" s="19" t="n"/>
      <c r="C49" s="19" t="n"/>
      <c r="D49" s="19" t="n"/>
      <c r="E49" s="19" t="n"/>
      <c r="F49" s="19" t="n"/>
      <c r="G49" s="19" t="n"/>
      <c r="H49" s="19" t="n"/>
      <c r="J49" s="2" t="n"/>
      <c r="K49" s="2" t="n"/>
      <c r="L49" s="2" t="n"/>
      <c r="M49" s="2" t="n"/>
      <c r="N49" s="2" t="n"/>
      <c r="O49" s="2" t="n"/>
    </row>
    <row r="50" ht="15.75" customHeight="1" s="15">
      <c r="A50" s="18" t="n"/>
      <c r="B50" s="19" t="n"/>
      <c r="C50" s="19" t="n"/>
      <c r="D50" s="19" t="n"/>
      <c r="E50" s="19" t="n"/>
      <c r="F50" s="19" t="n"/>
      <c r="G50" s="19" t="n"/>
      <c r="H50" s="19" t="n"/>
      <c r="J50" s="2" t="n"/>
      <c r="K50" s="2" t="n"/>
      <c r="L50" s="2" t="n"/>
      <c r="M50" s="2" t="n"/>
      <c r="N50" s="2" t="n"/>
      <c r="O50" s="2" t="n"/>
    </row>
    <row r="51" ht="15.75" customHeight="1" s="15">
      <c r="A51" s="18" t="n"/>
      <c r="B51" s="19" t="n"/>
      <c r="C51" s="19" t="n"/>
      <c r="D51" s="19" t="n"/>
      <c r="E51" s="19" t="n"/>
      <c r="F51" s="19" t="n"/>
      <c r="G51" s="19" t="n"/>
      <c r="H51" s="19" t="n"/>
      <c r="J51" s="2" t="n"/>
      <c r="K51" s="2" t="n"/>
      <c r="L51" s="2" t="n"/>
      <c r="M51" s="2" t="n"/>
      <c r="N51" s="2" t="n"/>
      <c r="O51" s="2" t="n"/>
    </row>
    <row r="52" ht="15.75" customHeight="1" s="15">
      <c r="A52" s="18" t="n"/>
      <c r="B52" s="19" t="n"/>
      <c r="C52" s="19" t="n"/>
      <c r="D52" s="19" t="n"/>
      <c r="E52" s="19" t="n"/>
      <c r="F52" s="19" t="n"/>
      <c r="G52" s="19" t="n"/>
      <c r="H52" s="19" t="n"/>
      <c r="J52" s="2" t="n"/>
      <c r="K52" s="2" t="n"/>
      <c r="L52" s="2" t="n"/>
      <c r="M52" s="2" t="n"/>
      <c r="N52" s="2" t="n"/>
      <c r="O52" s="2" t="n"/>
    </row>
    <row r="53" ht="15.75" customHeight="1" s="15">
      <c r="A53" s="18" t="n"/>
      <c r="B53" s="19" t="n"/>
      <c r="C53" s="19" t="n"/>
      <c r="D53" s="19" t="n"/>
      <c r="E53" s="19" t="n"/>
      <c r="F53" s="19" t="n"/>
      <c r="G53" s="19" t="n"/>
      <c r="H53" s="19" t="n"/>
      <c r="J53" s="2" t="n"/>
      <c r="K53" s="2" t="n"/>
      <c r="L53" s="2" t="n"/>
      <c r="M53" s="2" t="n"/>
      <c r="N53" s="2" t="n"/>
      <c r="O53" s="2" t="n"/>
    </row>
    <row r="54" ht="15.75" customHeight="1" s="15">
      <c r="A54" s="18" t="n"/>
      <c r="B54" s="19" t="n"/>
      <c r="C54" s="19" t="n"/>
      <c r="D54" s="19" t="n"/>
      <c r="E54" s="19" t="n"/>
      <c r="F54" s="19" t="n"/>
      <c r="G54" s="19" t="n"/>
      <c r="H54" s="19" t="n"/>
      <c r="J54" s="2" t="n"/>
      <c r="K54" s="2" t="n"/>
      <c r="L54" s="2" t="n"/>
      <c r="M54" s="2" t="n"/>
      <c r="N54" s="2" t="n"/>
      <c r="O54" s="2" t="n"/>
    </row>
    <row r="55" ht="15.75" customHeight="1" s="15">
      <c r="A55" s="18" t="n"/>
      <c r="B55" s="19" t="n"/>
      <c r="C55" s="19" t="n"/>
      <c r="D55" s="19" t="n"/>
      <c r="E55" s="19" t="n"/>
      <c r="F55" s="19" t="n"/>
      <c r="G55" s="19" t="n"/>
      <c r="H55" s="19" t="n"/>
      <c r="J55" s="2" t="n"/>
      <c r="K55" s="2" t="n"/>
      <c r="L55" s="2" t="n"/>
      <c r="M55" s="2" t="n"/>
      <c r="N55" s="2" t="n"/>
      <c r="O55" s="2" t="n"/>
    </row>
    <row r="56" ht="15.75" customHeight="1" s="15">
      <c r="A56" s="18" t="n"/>
      <c r="B56" s="19" t="n"/>
      <c r="C56" s="19" t="n"/>
      <c r="D56" s="19" t="n"/>
      <c r="E56" s="19" t="n"/>
      <c r="F56" s="19" t="n"/>
      <c r="G56" s="19" t="n"/>
      <c r="H56" s="19" t="n"/>
      <c r="J56" s="2" t="n"/>
      <c r="K56" s="2" t="n"/>
      <c r="L56" s="2" t="n"/>
      <c r="M56" s="2" t="n"/>
      <c r="N56" s="2" t="n"/>
      <c r="O56" s="2" t="n"/>
    </row>
    <row r="57" ht="15.75" customHeight="1" s="15">
      <c r="A57" s="18" t="n"/>
      <c r="B57" s="19" t="n"/>
      <c r="C57" s="19" t="n"/>
      <c r="D57" s="19" t="n"/>
      <c r="E57" s="19" t="n"/>
      <c r="F57" s="19" t="n"/>
      <c r="G57" s="19" t="n"/>
      <c r="H57" s="19" t="n"/>
      <c r="J57" s="2" t="n"/>
      <c r="K57" s="2" t="n"/>
      <c r="L57" s="2" t="n"/>
      <c r="M57" s="2" t="n"/>
      <c r="N57" s="2" t="n"/>
      <c r="O57" s="2" t="n"/>
    </row>
    <row r="58" ht="15.75" customHeight="1" s="15">
      <c r="A58" s="18" t="n"/>
      <c r="B58" s="19" t="n"/>
      <c r="C58" s="19" t="n"/>
      <c r="D58" s="19" t="n"/>
      <c r="E58" s="19" t="n"/>
      <c r="F58" s="19" t="n"/>
      <c r="G58" s="19" t="n"/>
      <c r="H58" s="19" t="n"/>
      <c r="J58" s="2" t="n"/>
      <c r="K58" s="2" t="n"/>
      <c r="L58" s="2" t="n"/>
      <c r="M58" s="2" t="n"/>
      <c r="N58" s="2" t="n"/>
      <c r="O58" s="2" t="n"/>
    </row>
    <row r="59" ht="15.75" customHeight="1" s="15">
      <c r="A59" s="18" t="n"/>
      <c r="B59" s="19" t="n"/>
      <c r="C59" s="19" t="n"/>
      <c r="D59" s="19" t="n"/>
      <c r="E59" s="19" t="n"/>
      <c r="F59" s="19" t="n"/>
      <c r="G59" s="19" t="n"/>
      <c r="H59" s="19" t="n"/>
      <c r="J59" s="2" t="n"/>
      <c r="K59" s="2" t="n"/>
      <c r="L59" s="2" t="n"/>
      <c r="M59" s="2" t="n"/>
      <c r="N59" s="2" t="n"/>
      <c r="O59" s="2" t="n"/>
    </row>
    <row r="60" ht="15.75" customHeight="1" s="15">
      <c r="A60" s="18" t="n"/>
      <c r="B60" s="19" t="n"/>
      <c r="C60" s="19" t="n"/>
      <c r="D60" s="19" t="n"/>
      <c r="E60" s="19" t="n"/>
      <c r="F60" s="19" t="n"/>
      <c r="G60" s="19" t="n"/>
      <c r="H60" s="19" t="n"/>
      <c r="J60" s="2" t="n"/>
      <c r="K60" s="2" t="n"/>
      <c r="L60" s="2" t="n"/>
      <c r="M60" s="2" t="n"/>
      <c r="N60" s="2" t="n"/>
      <c r="O60" s="2" t="n"/>
    </row>
    <row r="61" ht="15.75" customHeight="1" s="15">
      <c r="A61" s="18" t="n"/>
      <c r="B61" s="19" t="n"/>
      <c r="C61" s="19" t="n"/>
      <c r="D61" s="19" t="n"/>
      <c r="E61" s="19" t="n"/>
      <c r="F61" s="19" t="n"/>
      <c r="G61" s="19" t="n"/>
      <c r="H61" s="19" t="n"/>
      <c r="J61" s="2" t="n"/>
      <c r="K61" s="2" t="n"/>
      <c r="L61" s="2" t="n"/>
      <c r="M61" s="2" t="n"/>
      <c r="N61" s="2" t="n"/>
      <c r="O61" s="2" t="n"/>
    </row>
    <row r="62" ht="15.75" customHeight="1" s="15">
      <c r="A62" s="18" t="n"/>
      <c r="B62" s="19" t="n"/>
      <c r="C62" s="19" t="n"/>
      <c r="D62" s="19" t="n"/>
      <c r="E62" s="19" t="n"/>
      <c r="F62" s="19" t="n"/>
      <c r="G62" s="19" t="n"/>
      <c r="H62" s="19" t="n"/>
      <c r="J62" s="2" t="n"/>
      <c r="K62" s="2" t="n"/>
      <c r="L62" s="2" t="n"/>
      <c r="M62" s="2" t="n"/>
      <c r="N62" s="2" t="n"/>
      <c r="O62" s="2" t="n"/>
    </row>
    <row r="63" ht="15.75" customHeight="1" s="15">
      <c r="A63" s="18" t="n"/>
      <c r="B63" s="19" t="n"/>
      <c r="C63" s="19" t="n"/>
      <c r="D63" s="19" t="n"/>
      <c r="E63" s="19" t="n"/>
      <c r="F63" s="19" t="n"/>
      <c r="G63" s="19" t="n"/>
      <c r="H63" s="19" t="n"/>
      <c r="J63" s="2" t="n"/>
      <c r="K63" s="2" t="n"/>
      <c r="L63" s="2" t="n"/>
      <c r="M63" s="2" t="n"/>
      <c r="N63" s="2" t="n"/>
      <c r="O63" s="2" t="n"/>
    </row>
    <row r="64" ht="15.75" customHeight="1" s="15">
      <c r="A64" s="18" t="n"/>
      <c r="B64" s="19" t="n"/>
      <c r="C64" s="19" t="n"/>
      <c r="D64" s="19" t="n"/>
      <c r="E64" s="19" t="n"/>
      <c r="F64" s="19" t="n"/>
      <c r="G64" s="19" t="n"/>
      <c r="H64" s="19" t="n"/>
      <c r="J64" s="2" t="n"/>
      <c r="K64" s="2" t="n"/>
      <c r="L64" s="2" t="n"/>
      <c r="M64" s="2" t="n"/>
      <c r="N64" s="2" t="n"/>
      <c r="O64" s="2" t="n"/>
    </row>
    <row r="65" ht="15.75" customHeight="1" s="15">
      <c r="A65" s="18" t="n"/>
      <c r="B65" s="19" t="n"/>
      <c r="C65" s="19" t="n"/>
      <c r="D65" s="19" t="n"/>
      <c r="E65" s="19" t="n"/>
      <c r="F65" s="19" t="n"/>
      <c r="G65" s="19" t="n"/>
      <c r="H65" s="19"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OCTUBRE 2026. Misma estructura que septiembre: sesiones en A4:H65, total en D66, filas libres 8-65 (8 y 9 reservadas el 9-oct para NX y AN).   BLOQUES NUEVOS: BC-17 = transcripcion del audio de la evidencia con Whisper en la bodycam. NX-5 = el backend recibe la transcripcion (kind=transcript) y contrato en aeria-contracts.   2 DE OCTUBRE: 2,5 h indicadas por el usuario para la sesion; el reparto 2 / 0,5 entre BC y NX es estimacion (el trabajo de backend fue la ultima media hora). La parte de la app del telefono (transcripcion en el movil y recepcion de la de la bodycam) la hizo la sesion AN y NO esta en estas 2,5 h.   LINEAS DE CODIGO DEL 2-oct, sin commitear, medidas con git: BC 1.211 (339 en ficheros existentes y 872 en cinco nuevos: AudioPcm, Transcriber, WhisperNative, whisper_jni.cpp y CMakeLists); NO se cuentan las ~6,6 MB de whisper.cpp copiadas tal cual ni el modelo de 32 MB. NX 92 (69 en .py modificados, de ellos ~45 de tests, y 23 de la migracion); no se cuentan las ~190 lineas de transcript-format.md ni el resto de documentacion.   AN-14 = reinicio de la boveda de evidencia con el PIN cuando se olvida la contrasena.   3 DE OCTUBRE: 1,5 h de la sesion AN, un solo bloque.   LINEAS DE CODIGO DEL 3-oct, sin commitear: AN 398 anadidas (223 en el fichero nuevo VaultResetContent y el resto en EvidenceVault, VaultViewModel, VaultScreen, IdentityRepository, AuditoriaLocal, VaultRepository y AppNavHost); en VaultViewModel y VaultScreen se cuentan solo las de este bloque, no las de la transcripcion del 2-oct.   BC-18 = subida rechazada por la credencial: motivo al telefono, sin reintentos, officer_user_id en la metadata y token que sobrevive al corte de Bluetooth.   9 DE OCTUBRE: 2 h por sesion para cada una de las tres sesiones (BC, NX y AN); cada sesion anota su fila.   LINEAS DE CODIGO DEL 9-oct en BC, sin commitear: unas 190 anadidas (98 medidas con git en ChunkedUploader y UploadConfig; el resto, en UploadService, Protocol y BtServerService, estimado porque esos ficheros llevan tambien lo del 2-oct sin commitear); no se cuenta la documentacion.   AN-15 = altas desde el panel en el telefono: identificador del agente tecleado, perfil del agente desde el backend para la atadura con la bodycam, aviso de perfil suspendido sin bloquear la app y SOS del agente suspendido.   LINEAS DE CODIGO DEL 9-oct en AN, sin commitear, medidas con git: 645 anadidas (391 en once ficheros .kt existentes y 254 en tres nuevos: PerfilDelAgente, EnrollmentAgenteForm y ProfileCutDialog); no se cuentan DEVLOG ni la documentacion.   NX-6 = tres niveles de usuario, altas desde el panel, codigos de error, atribucion de la evidencia a quien la grabo y SOS (endpoints y sesion restringida de un suspendido).   LINEAS DE CODIGO DEL 9-oct en NX, sin commitear, medidas con git: 2.556 anadidas (2.019 en nueve ficheros nuevos: iam_levels, iam_user_views, sos_models, sos_views, test_user_admin, test_sos, las migraciones 0017 y 0018 y la pagina /users del panel; 449 en ficheros existentes del backend y del panel; y 88 de test_tus, descontadas las ~45 del 2-oct que siguen sin commitear en ese fichero). De ellas, unas 800 son tests. No se cuentan package-lock.json, el DEVLOG ni la documentacion de aeria-contracts.   NX-7 = documento de aclaracion IAM contrastado e informe de contradicciones. NX-8 = workflows del piloto (recibo firmado, desfase de reloj, unidades revocadas, version minima, auditoria). NX-9 = seguridad (denegar por defecto, /media cerrado, cache en claro de vida corta, atribucion por binding_id). NX-10 = panel de auditoria, custodia y dispositivos, y nuevo alta de camaras. NX-11 = SOS en directo en el panel por Agora. NX-12 = alta por QR desde el panel y guia de alta.   10 A 19 DE OCTUBRE (NX): horas del reloj de las sesiones de Claude Code en el proyecto, sin pausas de mas de 30 min, repartidas entre bloques por la hora de commits y ficheros y redondeadas al alza al medio punto; NX-11 fijado en 3 h. NX-12 sin horas: se fija cuando se termine.   LINEAS DE CODIGO NX del 10 al 18-oct, medidas con git, sin documentacion ni package-lock.json: NX-6 262 (258 el 10-oct en 7effe73 y 498cd98, 4 el 12-oct en d766513; el resto del 12-oct entro en f2ae93e mezclado con NX-10 y se cuenta alli); NX-8 1.664 (5858d8f); NX-9 665 (a96a4ce); NX-10 1.742 (f2ae93e, incluye los ajustes del panel del 12-oct); NX-11 595, sin commitear (sos_views, test_sos, pagina /sos, SosLiveViewer, Layout y api.ts). NX-12 (~730 sin commitear) no se suma en M7 hasta fijar sus horas.   AN-16 = avisos SOS del mapa que caducan cuando el emisor deja de emitir, botones de cerrar e historial de SOS con contador leido del backend.   21 DE OCTUBRE: 2 h de la sesion AN, un solo bloque.   LINEAS DE CODIGO DEL 21-oct en AN, sin commitear: 837 anadidas (828 medidas con git: 408 en tres ficheros nuevos, HistorialSos, HistorialSosBackend y SosHistoryDialog, y 420 en AgoraRepository, MapScreen y MapViewModel; unas 9 estimadas en AppContainer, SosNotifier y AppNavHost, que llevan tambien cambios anteriores sin commitear); no se cuentan DEVLOG ni la documentacion.</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2026-10-21T21:09:46Z</dcterms:modified>
</cp:coreProperties>
</file>