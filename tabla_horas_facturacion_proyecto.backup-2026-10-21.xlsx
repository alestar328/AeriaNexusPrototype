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 xmlns:r="http://schemas.openxmlformats.org/officeDocument/2006/relationships"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 BC-18</t>
        </is>
      </c>
      <c r="L5" s="13">
        <f>SUMPRODUCT(($B$4:$B$65="BC")/COUNTIFS($A$4:$A$65,$A$4:$A$65&amp;"",$B$4:$B$65,$B$4:$B$65&amp;""))</f>
        <v/>
      </c>
      <c r="M5" s="13" t="n">
        <v>1401</v>
      </c>
      <c r="N5" s="13">
        <f>SUMIFS($D$4:$D$65,$B$4:$B$65,"BC",$G$4:$G$65,"&lt;&gt;Sí")</f>
        <v/>
      </c>
      <c r="O5" s="9">
        <f>N5*$K$9</f>
        <v/>
      </c>
    </row>
    <row r="6" s="15">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 AN-15</t>
        </is>
      </c>
      <c r="L6" s="13">
        <f>SUMPRODUCT(($B$4:$B$65="AN")/COUNTIFS($A$4:$A$65,$A$4:$A$65&amp;"",$B$4:$B$65,$B$4:$B$65&amp;""))</f>
        <v/>
      </c>
      <c r="M6" s="13" t="n">
        <v>1043</v>
      </c>
      <c r="N6" s="13">
        <f>SUMIFS($D$4:$D$65,$B$4:$B$65,"AN",$G$4:$G$65,"&lt;&gt;Sí")</f>
        <v/>
      </c>
      <c r="O6" s="9">
        <f>N6*$K$9</f>
        <v/>
      </c>
    </row>
    <row r="7" s="15">
      <c r="A7" s="18" t="n">
        <v>46304</v>
      </c>
      <c r="B7" s="19" t="inlineStr">
        <is>
          <t>BC</t>
        </is>
      </c>
      <c r="C7" s="19" t="inlineStr">
        <is>
          <t>BC-18</t>
        </is>
      </c>
      <c r="D7" s="19" t="n">
        <v>2</v>
      </c>
      <c r="E7" s="19" t="inlineStr">
        <is>
          <t>Subida rechazada por la credencial y coordinacion con backend y movil por las altas desde el panel y la suspension de perfiles (rama dev_whisper_text). Revision de la unidad contra iam-session.md: no mira roles ni alcances. ChunkedUploader lee el motivo de un 401/403 (cabecera X-Error-Code o code del cuerpo), corta sin reintentos y suelta el token prestado salvo insufficient_scope; lo pendiente espera a un token nuevo. Motivo al telefono por BT: UPLOAD_REJECTED y campo rejected en UPLOAD_LIST. Clave nueva officer_user_id en Upload-Metadata (quien grabo) para que el backend deje de atribuir por la sesion que sube. El token sobrevive a la caida del Bluetooth y se retira al acreditarse otro telefono. Contrato escrito en aeria-contracts/upload-protocol.md 5.3 y docs/UPLOAD-PROTOCOL.md. COMPILA; SIN PROBAR EN LA W1 NI CONTRA EL BACKEND</t>
        </is>
      </c>
      <c r="F7" s="19" t="inlineStr">
        <is>
          <t>sin commitear</t>
        </is>
      </c>
      <c r="G7" s="19" t="inlineStr">
        <is>
          <t>No</t>
        </is>
      </c>
      <c r="H7" s="19" t="inlineStr">
        <is>
          <t>2 h</t>
        </is>
      </c>
      <c r="J7" s="13" t="inlineStr">
        <is>
          <t>aeria-nexus (backend)</t>
        </is>
      </c>
      <c r="K7" s="11" t="inlineStr">
        <is>
          <t>NX-5, NX-6, NX-7, NX-8, NX-9, NX-10, NX-11, NX-12</t>
        </is>
      </c>
      <c r="L7" s="13">
        <f>SUMPRODUCT(($B$4:$B$65="NX")/COUNTIFS($A$4:$A$65,$A$4:$A$65&amp;"",$B$4:$B$65,$B$4:$B$65&amp;""))</f>
        <v/>
      </c>
      <c r="M7" s="13" t="n">
        <v>7576</v>
      </c>
      <c r="N7" s="13">
        <f>SUMIFS($D$4:$D$65,$B$4:$B$65,"NX",$G$4:$G$65,"&lt;&gt;Sí")</f>
        <v/>
      </c>
      <c r="O7" s="9">
        <f>N7*$K$9</f>
        <v/>
      </c>
    </row>
    <row r="8" s="15">
      <c r="A8" s="18" t="n">
        <v>46304</v>
      </c>
      <c r="B8" s="19" t="inlineStr">
        <is>
          <t>NX</t>
        </is>
      </c>
      <c r="C8" s="19" t="inlineStr">
        <is>
          <t>NX-6</t>
        </is>
      </c>
      <c r="D8" s="19" t="n">
        <v>2</v>
      </c>
      <c r="E8" s="19" t="inlineStr">
        <is>
          <t>Tres niveles de usuario y altas desde el panel (rama dev_whisper_text de aeria-nexus). superadmin / admin / user como paquetes de los siete roles IAM, que no se tocan. Endpoints /api/users/ (alta, cambio de nivel, suspension, acceso al panel con TOTP) y pantalla /users con codigo QR; el menu ensena a quien ha entrado. Arreglado el CSRF del panel: ningun POST funcionaba en el navegador. Codigos de error estables en los 401/403 (cuerpo y cabecera X-Error-Code). El backend entrega nombre, rango y placa al telefono (profile en sesion y enrolamiento). Atribucion de la evidencia a quien la grabo (officer_user_id, NOAGENT) y piezas de un incidente atadas entre telefonos distintos. Endpoints de SOS (start, heartbeat, stop), que daban 404, y sesion restringida sos_only para que el SOS de un agente suspendido llegue; sin grabacion en la nube de Agora. Coordinacion y revision de las sesiones del movil y de la bodycam contra iam-session.md; contrato en aeria-contracts (iam-session 3.1, 5.7, 5.8, 6 y 9; upload-protocol 5.1 y 5.2). Migraciones 0017 y 0018. 333 tests en verde, 53 nuevos. LA PANTALLA /users NO SE HA ABIERTO EN UN NAVEGADOR; nada probado con dispositivos reales</t>
        </is>
      </c>
      <c r="F8" s="19" t="inlineStr">
        <is>
          <t>sin commitear</t>
        </is>
      </c>
      <c r="G8" s="19" t="inlineStr">
        <is>
          <t>No</t>
        </is>
      </c>
      <c r="H8" s="19" t="inlineStr">
        <is>
          <t>2 h</t>
        </is>
      </c>
      <c r="J8" s="10" t="inlineStr">
        <is>
          <t>TOTAL DEL MES</t>
        </is>
      </c>
      <c r="K8" s="13">
        <f>SUMPRODUCT(($C$4:$C$65&lt;&gt;"")/COUNTIF($C$4:$C$65,$C$4:$C$65&amp;""))</f>
        <v/>
      </c>
      <c r="L8" s="13">
        <f>SUMPRODUCT(($A$4:$A$65&lt;&gt;"")/COUNTIF($A$4:$A$65,$A$4:$A$65&amp;""))</f>
        <v/>
      </c>
      <c r="M8" s="10">
        <f>SUM(M5:M7)</f>
        <v/>
      </c>
      <c r="N8" s="10">
        <f>SUM(N5:N7)</f>
        <v/>
      </c>
      <c r="O8" s="12">
        <f>SUM(O5:O7)</f>
        <v/>
      </c>
    </row>
    <row r="9">
      <c r="A9" s="18" t="n">
        <v>46304</v>
      </c>
      <c r="B9" s="19" t="inlineStr">
        <is>
          <t>AN</t>
        </is>
      </c>
      <c r="C9" s="19" t="inlineStr">
        <is>
          <t>AN-15</t>
        </is>
      </c>
      <c r="D9" s="19" t="n">
        <v>2</v>
      </c>
      <c r="E9" s="19" t="inlineStr">
        <is>
          <t>Altas desde el panel, perfil del agente y suspension de perfiles en el telefono (rama dev_back_connection). Revision del telefono contra iam-session.md y coordinacion con las sesiones del backend y de la bodycam: no mira roles ni alcances; se corrigen en el contrato la declaracion de la atadura y cuatro frases que no describian al telefono. Alta del agente: el identificador se teclea entero (formulario OFFICER ID, minusculas, sin espacios, misma regla que el panel) en vez de ir fijo en el codigo. Mensajes propios en ingles segun el code del backend (perfil suspendido, revocado, inexistente, telefono no reconocido). Nombre, rango y placa llegan del backend en el alta y en cada sesion, se guardan en el telefono y son los que firma la atadura con la bodycam. Agente suspendido o revocado a mitad de turno: se deja de reintentar, se descarta el token, se avisa al agente y sigue grabando en local; CHECK AGAIN o el siguiente desbloqueo vuelven a preguntar. Sesion restringida sos_only para que el SOS de un suspendido llegue al backend, prestada tambien a la bodycam. COMPILA Y PASAN LOS TESTS DE UNIDAD; SIN PROBAR EN APARATO NI CONTRA EL BACKEND</t>
        </is>
      </c>
      <c r="F9" s="19" t="inlineStr">
        <is>
          <t>sin commitear</t>
        </is>
      </c>
      <c r="G9" s="19" t="inlineStr">
        <is>
          <t>No</t>
        </is>
      </c>
      <c r="H9" s="19" t="inlineStr">
        <is>
          <t>2 h</t>
        </is>
      </c>
      <c r="J9" s="10" t="inlineStr">
        <is>
          <t>Tarifa (€/h)</t>
        </is>
      </c>
      <c r="K9" s="13" t="n">
        <v>20</v>
      </c>
      <c r="L9" s="2" t="n"/>
      <c r="M9" s="2" t="n"/>
      <c r="N9" s="2" t="n"/>
      <c r="O9" s="2" t="n"/>
    </row>
    <row r="10">
      <c r="A10" s="18" t="n">
        <v>46305</v>
      </c>
      <c r="B10" s="19" t="inlineStr">
        <is>
          <t>NX</t>
        </is>
      </c>
      <c r="C10" s="19" t="inlineStr">
        <is>
          <t>NX-6</t>
        </is>
      </c>
      <c r="D10" s="19" t="n">
        <v>0.5</v>
      </c>
      <c r="E10" s="19" t="inlineStr">
        <is>
          <t>Ajustes del alta tras la respuesta de las dos apps (rama dev_whisper_text): reintento idempotente del enrolamiento del agente, codigos en el 409 del alta de dispositivo, emparejamientos con caducidad en milisegundos y el fin de turno suelta la camara en la misma peticion</t>
        </is>
      </c>
      <c r="F10" s="19" t="inlineStr">
        <is>
          <t>7effe73, 498cd98</t>
        </is>
      </c>
      <c r="G10" s="19" t="inlineStr">
        <is>
          <t>No</t>
        </is>
      </c>
      <c r="H10" s="19" t="inlineStr">
        <is>
          <t>reloj de sesion 0,3 h</t>
        </is>
      </c>
      <c r="J10" s="2" t="n"/>
      <c r="K10" s="2" t="n"/>
      <c r="L10" s="2" t="n"/>
      <c r="M10" s="2" t="n"/>
      <c r="N10" s="2" t="n"/>
      <c r="O10" s="2" t="n"/>
    </row>
    <row r="11">
      <c r="A11" s="18" t="n">
        <v>46307</v>
      </c>
      <c r="B11" s="19" t="inlineStr">
        <is>
          <t>NX</t>
        </is>
      </c>
      <c r="C11" s="19" t="inlineStr">
        <is>
          <t>NX-6</t>
        </is>
      </c>
      <c r="D11" s="19" t="n">
        <v>1.5</v>
      </c>
      <c r="E11" s="19" t="inlineStr">
        <is>
          <t>Primera vez que el panel se abre en el navegador: boton de salir, Users visible para el superadmin, rango como desplegable obligatorio, nombre y apellidos en dos campos y cuentas personales en local</t>
        </is>
      </c>
      <c r="F11" s="19" t="inlineStr">
        <is>
          <t>d766513, f2ae93e</t>
        </is>
      </c>
      <c r="G11" s="19" t="inlineStr">
        <is>
          <t>No</t>
        </is>
      </c>
      <c r="H11" s="19" t="inlineStr">
        <is>
          <t>reloj de sesion 1,2 h</t>
        </is>
      </c>
      <c r="J11" s="2" t="n"/>
      <c r="K11" s="2" t="n"/>
      <c r="L11" s="2" t="n"/>
      <c r="M11" s="2" t="n"/>
      <c r="N11" s="2" t="n"/>
      <c r="O11" s="2" t="n"/>
    </row>
    <row r="12">
      <c r="A12" s="18" t="n">
        <v>46310</v>
      </c>
      <c r="B12" s="19" t="inlineStr">
        <is>
          <t>NX</t>
        </is>
      </c>
      <c r="C12" s="19" t="inlineStr">
        <is>
          <t>NX-7</t>
        </is>
      </c>
      <c r="D12" s="19" t="n">
        <v>0.5</v>
      </c>
      <c r="E12" s="19" t="inlineStr">
        <is>
          <t>Documento de aclaracion IAM contrastado con los Excel IAM y con las dos apps; informe de contradicciones para el manager, en espanol y en ingles (docs/)</t>
        </is>
      </c>
      <c r="F12" s="19" t="inlineStr">
        <is>
          <t>sin commitear</t>
        </is>
      </c>
      <c r="G12" s="19" t="inlineStr">
        <is>
          <t>No</t>
        </is>
      </c>
      <c r="H12" s="19" t="inlineStr">
        <is>
          <t>reloj de sesion 0,4 h</t>
        </is>
      </c>
      <c r="J12" s="2" t="n"/>
      <c r="K12" s="2" t="n"/>
      <c r="L12" s="2" t="n"/>
      <c r="M12" s="2" t="n"/>
      <c r="N12" s="2" t="n"/>
      <c r="O12" s="2" t="n"/>
    </row>
    <row r="13">
      <c r="A13" s="18" t="n">
        <v>46311</v>
      </c>
      <c r="B13" s="19" t="inlineStr">
        <is>
          <t>NX</t>
        </is>
      </c>
      <c r="C13" s="19" t="inlineStr">
        <is>
          <t>NX-8</t>
        </is>
      </c>
      <c r="D13" s="19" t="n">
        <v>1</v>
      </c>
      <c r="E13" s="19" t="inlineStr">
        <is>
          <t>Workflows del piloto en el backend: recibo de aceptacion firmado, desfase de reloj del dispositivo, rechazo de unidades revocadas o no enroladas, version minima de la app y auditoria con cadena de hashes</t>
        </is>
      </c>
      <c r="F13" s="19" t="inlineStr">
        <is>
          <t>5858d8f</t>
        </is>
      </c>
      <c r="G13" s="19" t="inlineStr">
        <is>
          <t>No</t>
        </is>
      </c>
      <c r="H13" s="19" t="inlineStr">
        <is>
          <t>reloj de sesion 1 h</t>
        </is>
      </c>
      <c r="J13" s="2" t="n"/>
      <c r="K13" s="2" t="n"/>
      <c r="L13" s="2" t="n"/>
      <c r="M13" s="2" t="n"/>
      <c r="N13" s="2" t="n"/>
      <c r="O13" s="2" t="n"/>
    </row>
    <row r="14">
      <c r="A14" s="18" t="n">
        <v>46311</v>
      </c>
      <c r="B14" s="19" t="inlineStr">
        <is>
          <t>NX</t>
        </is>
      </c>
      <c r="C14" s="19" t="inlineStr">
        <is>
          <t>NX-9</t>
        </is>
      </c>
      <c r="D14" s="19" t="n">
        <v>1</v>
      </c>
      <c r="E14" s="19" t="inlineStr">
        <is>
          <t>Seguridad: todo exige sesion por defecto (con test que recorre todas las rutas), /media cerrado, cache de evidencia en claro de vida corta, enrolamiento rechaza identidades revocadas y atribucion por binding_id</t>
        </is>
      </c>
      <c r="F14" s="19" t="inlineStr">
        <is>
          <t>a96a4ce</t>
        </is>
      </c>
      <c r="G14" s="19" t="inlineStr">
        <is>
          <t>No</t>
        </is>
      </c>
      <c r="H14" s="19" t="inlineStr">
        <is>
          <t>reloj de sesion 0,8 h</t>
        </is>
      </c>
      <c r="J14" s="2" t="n"/>
      <c r="K14" s="2" t="n"/>
      <c r="L14" s="2" t="n"/>
      <c r="M14" s="2" t="n"/>
      <c r="N14" s="2" t="n"/>
      <c r="O14" s="2" t="n"/>
    </row>
    <row r="15">
      <c r="A15" s="18" t="n">
        <v>46311</v>
      </c>
      <c r="B15" s="19" t="inlineStr">
        <is>
          <t>NX</t>
        </is>
      </c>
      <c r="C15" s="19" t="inlineStr">
        <is>
          <t>NX-10</t>
        </is>
      </c>
      <c r="D15" s="19" t="n">
        <v>1</v>
      </c>
      <c r="E15" s="19" t="inlineStr">
        <is>
          <t>Panel: pantallas de auditoria, cadena de custodia del incidente y dispositivos; nuevo alta de camaras con permiso de un solo uso y revocaciones que se levantan</t>
        </is>
      </c>
      <c r="F15" s="19" t="inlineStr">
        <is>
          <t>f2ae93e</t>
        </is>
      </c>
      <c r="G15" s="19" t="inlineStr">
        <is>
          <t>No</t>
        </is>
      </c>
      <c r="H15" s="19" t="inlineStr">
        <is>
          <t>reloj de sesion 1 h</t>
        </is>
      </c>
      <c r="J15" s="2" t="n"/>
      <c r="K15" s="2" t="n"/>
      <c r="L15" s="2" t="n"/>
      <c r="M15" s="2" t="n"/>
      <c r="N15" s="2" t="n"/>
      <c r="O15" s="2" t="n"/>
    </row>
    <row r="16">
      <c r="A16" s="18" t="n">
        <v>46313</v>
      </c>
      <c r="B16" s="19" t="inlineStr">
        <is>
          <t>NX</t>
        </is>
      </c>
      <c r="C16" s="19" t="inlineStr">
        <is>
          <t>NX-11</t>
        </is>
      </c>
      <c r="D16" s="19" t="n">
        <v>3</v>
      </c>
      <c r="E16" s="19" t="inlineStr">
        <is>
          <t>SOS en directo en el panel por Agora: endpoint de SOS en curso, pagina /sos, aviso en todas las pantallas y visor como espectador; prueba completa con un telefono real contra el backend local</t>
        </is>
      </c>
      <c r="F16" s="19" t="inlineStr">
        <is>
          <t>sin commitear</t>
        </is>
      </c>
      <c r="G16" s="19" t="inlineStr">
        <is>
          <t>No</t>
        </is>
      </c>
      <c r="H16" s="19" t="inlineStr">
        <is>
          <t>3 h</t>
        </is>
      </c>
      <c r="J16" s="2" t="n"/>
      <c r="K16" s="2" t="n"/>
      <c r="L16" s="2" t="n"/>
      <c r="M16" s="2" t="n"/>
      <c r="N16" s="2" t="n"/>
      <c r="O16" s="2" t="n"/>
    </row>
    <row r="17">
      <c r="A17" s="18" t="n">
        <v>46314</v>
      </c>
      <c r="B17" s="19" t="inlineStr">
        <is>
          <t>NX</t>
        </is>
      </c>
      <c r="C17" s="19" t="inlineStr">
        <is>
          <t>NX-12</t>
        </is>
      </c>
      <c r="D17" s="19" t="n"/>
      <c r="E17" s="19" t="inlineStr">
        <is>
          <t>Alta por QR desde el panel (propuesta revisada con la sesion del telefono, backend y panel) y guia de alta en Word. Sin terminar</t>
        </is>
      </c>
      <c r="F17" s="19" t="inlineStr">
        <is>
          <t>sin commitear</t>
        </is>
      </c>
      <c r="G17" s="19" t="inlineStr">
        <is>
          <t>No</t>
        </is>
      </c>
      <c r="H17" s="19" t="inlineStr">
        <is>
          <t>pendiente: se fija al terminar</t>
        </is>
      </c>
      <c r="J17" s="2" t="n"/>
      <c r="K17" s="2" t="n"/>
      <c r="L17" s="2" t="n"/>
      <c r="M17" s="2" t="n"/>
      <c r="N17" s="2" t="n"/>
      <c r="O17" s="2" t="n"/>
    </row>
    <row r="18">
      <c r="A18" s="18" t="n"/>
      <c r="B18" s="19" t="n"/>
      <c r="C18" s="19" t="n"/>
      <c r="D18" s="19" t="n"/>
      <c r="E18" s="19" t="n"/>
      <c r="F18" s="19" t="n"/>
      <c r="G18" s="19" t="n"/>
      <c r="H18" s="19" t="n"/>
      <c r="J18" s="2" t="n"/>
      <c r="K18" s="2" t="n"/>
      <c r="L18" s="2" t="n"/>
      <c r="M18" s="2" t="n"/>
      <c r="N18" s="2" t="n"/>
      <c r="O18" s="2" t="n"/>
    </row>
    <row r="19">
      <c r="A19" s="18" t="n"/>
      <c r="B19" s="19" t="n"/>
      <c r="C19" s="19" t="n"/>
      <c r="D19" s="19" t="n"/>
      <c r="E19" s="19" t="n"/>
      <c r="F19" s="19" t="n"/>
      <c r="G19" s="19" t="n"/>
      <c r="H19" s="19" t="n"/>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8-65 (8 y 9 reservadas el 9-oct para NX y AN).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   BC-18 = subida rechazada por la credencial: motivo al telefono, sin reintentos, officer_user_id en la metadata y token que sobrevive al corte de Bluetooth.   9 DE OCTUBRE: 2 h por sesion para cada una de las tres sesiones (BC, NX y AN); cada sesion anota su fila.   LINEAS DE CODIGO DEL 9-oct en BC, sin commitear: unas 190 anadidas (98 medidas con git en ChunkedUploader y UploadConfig; el resto, en UploadService, Protocol y BtServerService, estimado porque esos ficheros llevan tambien lo del 2-oct sin commitear); no se cuenta la documentacion.   AN-15 = altas desde el panel en el telefono: identificador del agente tecleado, perfil del agente desde el backend para la atadura con la bodycam, aviso de perfil suspendido sin bloquear la app y SOS del agente suspendido.   LINEAS DE CODIGO DEL 9-oct en AN, sin commitear, medidas con git: 645 anadidas (391 en once ficheros .kt existentes y 254 en tres nuevos: PerfilDelAgente, EnrollmentAgenteForm y ProfileCutDialog); no se cuentan DEVLOG ni la documentacion.   NX-6 = tres niveles de usuario, altas desde el panel, codigos de error, atribucion de la evidencia a quien la grabo y SOS (endpoints y sesion restringida de un suspendido).   LINEAS DE CODIGO DEL 9-oct en NX, sin commitear, medidas con git: 2.556 anadidas (2.019 en nueve ficheros nuevos: iam_levels, iam_user_views, sos_models, sos_views, test_user_admin, test_sos, las migraciones 0017 y 0018 y la pagina /users del panel; 449 en ficheros existentes del backend y del panel; y 88 de test_tus, descontadas las ~45 del 2-oct que siguen sin commitear en ese fichero). De ellas, unas 800 son tests. No se cuentan package-lock.json, el DEVLOG ni la documentacion de aeria-contracts.   NX-7 = documento de aclaracion IAM contrastado e informe de contradicciones. NX-8 = workflows del piloto (recibo firmado, desfase de reloj, unidades revocadas, version minima, auditoria). NX-9 = seguridad (denegar por defecto, /media cerrado, cache en claro de vida corta, atribucion por binding_id). NX-10 = panel de auditoria, custodia y dispositivos, y nuevo alta de camaras. NX-11 = SOS en directo en el panel por Agora. NX-12 = alta por QR desde el panel y guia de alta.   10 A 19 DE OCTUBRE (NX): horas del reloj de las sesiones de Claude Code en el proyecto, sin pausas de mas de 30 min, repartidas entre bloques por la hora de commits y ficheros y redondeadas al alza al medio punto; NX-11 fijado en 3 h. NX-12 sin horas: se fija cuando se termine.   LINEAS DE CODIGO NX del 10 al 18-oct, medidas con git, sin documentacion ni package-lock.json: NX-6 262 (258 el 10-oct en 7effe73 y 498cd98, 4 el 12-oct en d766513; el resto del 12-oct entro en f2ae93e mezclado con NX-10 y se cuenta alli); NX-8 1.664 (5858d8f); NX-9 665 (a96a4ce); NX-10 1.742 (f2ae93e, incluye los ajustes del panel del 12-oct); NX-11 595, sin commitear (sos_views, test_sos, pagina /sos, SosLiveViewer, Layout y api.ts). NX-12 (~730 sin commitear) no se suma en M7 hasta fijar sus horas.</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2026-10-18T22:24:10Z</dcterms:modified>
</cp:coreProperties>
</file>