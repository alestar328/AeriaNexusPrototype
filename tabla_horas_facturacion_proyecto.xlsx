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0.00 €"/>
  </numFmts>
  <fonts count="8">
    <font>
      <name val="Arial"/>
      <color rgb="FF000000"/>
      <sz val="10"/>
      <scheme val="minor"/>
    </font>
    <font>
      <name val="Calibri"/>
      <b val="1"/>
      <color rgb="FF1F3864"/>
      <sz val="12"/>
    </font>
    <font>
      <name val="Arial"/>
      <color rgb="FF000000"/>
      <sz val="10"/>
    </font>
    <font>
      <name val="Calibri"/>
      <i val="1"/>
      <color theme="1"/>
      <sz val="9"/>
    </font>
    <font>
      <name val="Calibri"/>
      <b val="1"/>
      <color rgb="FFFFFFFF"/>
      <sz val="10"/>
    </font>
    <font>
      <name val="Calibri"/>
      <b val="1"/>
      <color rgb="FF1F3864"/>
      <sz val="11"/>
    </font>
    <font>
      <name val="Arial"/>
      <color theme="1"/>
      <scheme val="minor"/>
    </font>
    <font>
      <name val="Arial"/>
      <b val="1"/>
      <color theme="1"/>
      <scheme val="minor"/>
    </font>
  </fonts>
  <fills count="4">
    <fill>
      <patternFill/>
    </fill>
    <fill>
      <patternFill patternType="lightGray"/>
    </fill>
    <fill>
      <patternFill patternType="solid">
        <fgColor rgb="FF1F3864"/>
        <bgColor rgb="FF1F3864"/>
      </patternFill>
    </fill>
    <fill>
      <patternFill patternType="solid">
        <fgColor rgb="FFFFF2CC"/>
        <bgColor rgb="FFFFF2CC"/>
      </patternFill>
    </fill>
  </fills>
  <borders count="1">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horizontal="center" vertical="center" wrapText="1"/>
    </xf>
    <xf numFmtId="0" fontId="5" fillId="0" borderId="0" pivotButton="0" quotePrefix="0" xfId="0"/>
    <xf numFmtId="164" fontId="2" fillId="0" borderId="0" applyAlignment="1" pivotButton="0" quotePrefix="0" xfId="0">
      <alignment vertical="top" wrapText="1"/>
    </xf>
    <xf numFmtId="0" fontId="2" fillId="0" borderId="0" applyAlignment="1" pivotButton="0" quotePrefix="0" xfId="0">
      <alignment vertical="top" wrapText="1"/>
    </xf>
    <xf numFmtId="0" fontId="6" fillId="0" borderId="0" pivotButton="0" quotePrefix="0" xfId="0"/>
    <xf numFmtId="165" fontId="2"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0" fontId="6" fillId="0" borderId="0" pivotButton="0" quotePrefix="0" xfId="0"/>
    <xf numFmtId="0" fontId="3" fillId="3"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agosto 2026</t>
        </is>
      </c>
      <c r="K3" s="2" t="n"/>
      <c r="L3" s="2" t="n"/>
      <c r="M3" s="2" t="n"/>
      <c r="N3" s="2" t="n"/>
      <c r="O3" s="2" t="n"/>
    </row>
    <row r="4">
      <c r="A4" s="6" t="n">
        <v>46243</v>
      </c>
      <c r="B4" s="11" t="inlineStr">
        <is>
          <t>BC</t>
        </is>
      </c>
      <c r="C4" s="11" t="inlineStr">
        <is>
          <t>BC-1</t>
        </is>
      </c>
      <c r="D4" s="11" t="n">
        <v>6</v>
      </c>
      <c r="E4" s="11" t="inlineStr">
        <is>
          <t>Grabación continua: EvidenceStore (buffer en anillo, pre-roll 120 s, segmentos 8 MB), reescritura de RecordingActivity, retirada de CameraController</t>
        </is>
      </c>
      <c r="F4" s="11" t="inlineStr">
        <is>
          <t>d4a4709</t>
        </is>
      </c>
      <c r="G4" s="11" t="inlineStr">
        <is>
          <t>No</t>
        </is>
      </c>
      <c r="H4" s="11" t="n"/>
      <c r="J4" s="4" t="inlineStr">
        <is>
          <t>Aplicación</t>
        </is>
      </c>
      <c r="K4" s="4" t="inlineStr">
        <is>
          <t>Bloques</t>
        </is>
      </c>
      <c r="L4" s="4" t="inlineStr">
        <is>
          <t>Días activ.</t>
        </is>
      </c>
      <c r="M4" s="4" t="inlineStr">
        <is>
          <t>Líneas código</t>
        </is>
      </c>
      <c r="N4" s="4" t="inlineStr">
        <is>
          <t>Horas</t>
        </is>
      </c>
      <c r="O4" s="4" t="inlineStr">
        <is>
          <t>Importe</t>
        </is>
      </c>
    </row>
    <row r="5">
      <c r="A5" s="6" t="n">
        <v>46248</v>
      </c>
      <c r="B5" s="11" t="inlineStr">
        <is>
          <t>BC</t>
        </is>
      </c>
      <c r="C5" s="11" t="inlineStr">
        <is>
          <t>BC-2</t>
        </is>
      </c>
      <c r="D5" s="11" t="n">
        <v>6</v>
      </c>
      <c r="E5" s="11" t="inlineStr">
        <is>
          <t>Cifrado (medicion): CryptoBenchmark (SHA-256 + AES-256-GCM por bloques), RecorderWatch (watchdog de grabaciones largas), endpoint /benchmark, fix de path traversal, 2 scripts Python, testing con videos reales</t>
        </is>
      </c>
      <c r="F5" s="11" t="inlineStr">
        <is>
          <t>sin commitear</t>
        </is>
      </c>
      <c r="G5" s="11" t="inlineStr">
        <is>
          <t>No</t>
        </is>
      </c>
      <c r="H5" s="11" t="n"/>
      <c r="J5" s="13" t="inlineStr">
        <is>
          <t>BodyCamServer</t>
        </is>
      </c>
      <c r="K5" s="11" t="inlineStr">
        <is>
          <t>BC-1, BC-2, BC-3, BC-4, BC-5, BC-6</t>
        </is>
      </c>
      <c r="L5" s="13">
        <f>SUMPRODUCT(($B$4:$B$40="BC")/COUNTIFS($A$4:$A$40,$A$4:$A$40&amp;"",$B$4:$B$40,$B$4:$B$40&amp;""))</f>
        <v/>
      </c>
      <c r="M5" s="13" t="n">
        <v>6860</v>
      </c>
      <c r="N5" s="13">
        <f>SUMIFS($D$4:$D$40,$B$4:$B$40,"BC",$G$4:$G$40,"&lt;&gt;Sí")</f>
        <v/>
      </c>
      <c r="O5" s="9">
        <f>N5*$K$9</f>
        <v/>
      </c>
    </row>
    <row r="6">
      <c r="A6" s="6" t="n">
        <v>46249</v>
      </c>
      <c r="B6" s="11" t="inlineStr">
        <is>
          <t>BC</t>
        </is>
      </c>
      <c r="C6" s="11" t="n"/>
      <c r="D6" s="11" t="n">
        <v>0</v>
      </c>
      <c r="E6" s="11" t="inlineStr">
        <is>
          <t>Alta del sistema de seguimiento de horas (cubre las dos apps)</t>
        </is>
      </c>
      <c r="F6" s="11" t="inlineStr">
        <is>
          <t>pendiente</t>
        </is>
      </c>
      <c r="G6" s="11" t="inlineStr">
        <is>
          <t>No</t>
        </is>
      </c>
      <c r="H6" s="11" t="n"/>
      <c r="J6" s="13" t="inlineStr">
        <is>
          <t>AeriaNexusPrototype</t>
        </is>
      </c>
      <c r="K6" s="11" t="inlineStr">
        <is>
          <t>AN-1</t>
        </is>
      </c>
      <c r="L6" s="13">
        <f>SUMPRODUCT(($B$4:$B$40="AN")/COUNTIFS($A$4:$A$40,$A$4:$A$40&amp;"",$B$4:$B$40,$B$4:$B$40&amp;""))</f>
        <v/>
      </c>
      <c r="M6" s="13" t="n">
        <v>799</v>
      </c>
      <c r="N6" s="13">
        <f>SUMIFS($D$4:$D$40,$B$4:$B$40,"AN",$G$4:$G$40,"&lt;&gt;Sí")</f>
        <v/>
      </c>
      <c r="O6" s="9">
        <f>N6*$K$9</f>
        <v/>
      </c>
    </row>
    <row r="7">
      <c r="A7" s="6" t="n">
        <v>46249</v>
      </c>
      <c r="B7" s="11" t="inlineStr">
        <is>
          <t>BC</t>
        </is>
      </c>
      <c r="C7" s="11" t="inlineStr">
        <is>
          <t>BC-3</t>
        </is>
      </c>
      <c r="D7" s="11" t="n">
        <v>1.5</v>
      </c>
      <c r="E7" s="11" t="inlineStr">
        <is>
          <t>Pantalla en reposo al grabar + cronometro en RecordingActivity. Compilado y desplegado en la unidad</t>
        </is>
      </c>
      <c r="F7" s="11" t="inlineStr">
        <is>
          <t>sin commitear</t>
        </is>
      </c>
      <c r="G7" s="11" t="inlineStr">
        <is>
          <t>No</t>
        </is>
      </c>
      <c r="H7" s="11" t="n"/>
      <c r="J7" s="10" t="inlineStr">
        <is>
          <t>TOTAL DEL MES</t>
        </is>
      </c>
      <c r="K7" s="13">
        <f>SUMPRODUCT(($C$4:$C$40&lt;&gt;"")/COUNTIF($C$4:$C$40,$C$4:$C$40&amp;""))</f>
        <v/>
      </c>
      <c r="L7" s="13">
        <f>SUMPRODUCT(($A$4:$A$40&lt;&gt;"")/COUNTIF($A$4:$A$40,$A$4:$A$40&amp;""))</f>
        <v/>
      </c>
      <c r="M7" s="10">
        <f>SUM(M5:M6)</f>
        <v/>
      </c>
      <c r="N7" s="10">
        <f>SUM(N5:N6)</f>
        <v/>
      </c>
      <c r="O7" s="12">
        <f>SUM(O5:O6)</f>
        <v/>
      </c>
    </row>
    <row r="8">
      <c r="A8" s="6" t="n">
        <v>46249</v>
      </c>
      <c r="B8" s="11" t="inlineStr">
        <is>
          <t>BC</t>
        </is>
      </c>
      <c r="C8" s="11" t="inlineStr">
        <is>
          <t>BC-2</t>
        </is>
      </c>
      <c r="D8" s="11" t="n">
        <v>3</v>
      </c>
      <c r="E8" s="11" t="inlineStr">
        <is>
          <t>Cifrado (medicion): CryptoBenchmark (SHA-256 + AES-256-GCM por bloques) CONTINUACION</t>
        </is>
      </c>
      <c r="F8" s="11" t="inlineStr">
        <is>
          <t>sin commitear</t>
        </is>
      </c>
      <c r="G8" s="11" t="inlineStr">
        <is>
          <t>No</t>
        </is>
      </c>
      <c r="H8" s="11" t="n"/>
      <c r="J8" s="2" t="n"/>
      <c r="K8" s="2" t="n"/>
      <c r="L8" s="2" t="n"/>
      <c r="M8" s="2" t="n"/>
      <c r="N8" s="2" t="n"/>
      <c r="O8" s="2" t="n"/>
    </row>
    <row r="9">
      <c r="A9" s="6" t="n">
        <v>46250</v>
      </c>
      <c r="B9" s="11" t="inlineStr">
        <is>
          <t>BC</t>
        </is>
      </c>
      <c r="C9" s="11" t="inlineStr">
        <is>
          <t>BC-1</t>
        </is>
      </c>
      <c r="D9" s="11" t="n">
        <v>2</v>
      </c>
      <c r="E9" s="11" t="inlineStr">
        <is>
          <t>Funcionalidad Subir a servidor yes/no, visualizacion de tiempo de grabacion</t>
        </is>
      </c>
      <c r="F9" s="11" t="inlineStr">
        <is>
          <t>sin commitear</t>
        </is>
      </c>
      <c r="G9" s="11" t="inlineStr">
        <is>
          <t>No</t>
        </is>
      </c>
      <c r="H9" s="11" t="n"/>
      <c r="J9" s="10" t="inlineStr">
        <is>
          <t>Tarifa (€/h)</t>
        </is>
      </c>
      <c r="K9" s="13" t="n">
        <v>20</v>
      </c>
      <c r="L9" s="2" t="n"/>
      <c r="M9" s="2" t="n"/>
      <c r="N9" s="2" t="n"/>
      <c r="O9" s="2" t="n"/>
    </row>
    <row r="10">
      <c r="A10" s="6" t="n">
        <v>46250</v>
      </c>
      <c r="B10" s="11" t="inlineStr">
        <is>
          <t>BC</t>
        </is>
      </c>
      <c r="C10" s="11" t="n"/>
      <c r="D10" s="11" t="n">
        <v>3</v>
      </c>
      <c r="E10" s="11" t="inlineStr">
        <is>
          <t>Reuniones semana del 17 agosto al 28</t>
        </is>
      </c>
      <c r="F10" s="11" t="n"/>
      <c r="G10" s="11" t="inlineStr">
        <is>
          <t>No</t>
        </is>
      </c>
      <c r="H10" s="11" t="n"/>
      <c r="J10" s="2" t="n"/>
      <c r="K10" s="2" t="n"/>
      <c r="L10" s="2" t="n"/>
      <c r="M10" s="2" t="n"/>
      <c r="N10" s="2" t="n"/>
      <c r="O10" s="2" t="n"/>
    </row>
    <row r="11">
      <c r="A11" s="6" t="n">
        <v>46257</v>
      </c>
      <c r="B11" s="11" t="inlineStr">
        <is>
          <t>BC</t>
        </is>
      </c>
      <c r="C11" s="11" t="n"/>
      <c r="D11" s="11" t="n">
        <v>0.5</v>
      </c>
      <c r="E11" s="11" t="inlineStr">
        <is>
          <t>Analisis del Security Feature List (34 features: 15 viables sin backend, 12 parciales, 7 bloqueadas), ruta de desarrollo hasta fin de septiembre y actualizacion del seguimiento</t>
        </is>
      </c>
      <c r="F11" s="11" t="inlineStr">
        <is>
          <t>db04e55</t>
        </is>
      </c>
      <c r="G11" s="11" t="inlineStr">
        <is>
          <t>No</t>
        </is>
      </c>
      <c r="H11" s="11" t="n"/>
      <c r="J11" s="2" t="n"/>
      <c r="K11" s="2" t="n"/>
      <c r="L11" s="2" t="n"/>
      <c r="M11" s="2" t="n"/>
      <c r="N11" s="2" t="n"/>
      <c r="O11" s="2" t="n"/>
    </row>
    <row r="12">
      <c r="A12" s="6" t="n">
        <v>46257</v>
      </c>
      <c r="B12" s="11" t="inlineStr">
        <is>
          <t>BC</t>
        </is>
      </c>
      <c r="C12" s="11" t="inlineStr">
        <is>
          <t>BC-4</t>
        </is>
      </c>
      <c r="D12" s="11" t="n">
        <v>2</v>
      </c>
      <c r="E12" s="11"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11" t="inlineStr">
        <is>
          <t>db04e55, a599da9</t>
        </is>
      </c>
      <c r="G12" s="11" t="inlineStr">
        <is>
          <t>No</t>
        </is>
      </c>
      <c r="H12" s="11" t="n"/>
      <c r="J12" s="2" t="n"/>
      <c r="K12" s="2" t="n"/>
      <c r="L12" s="2" t="n"/>
      <c r="M12" s="2" t="n"/>
      <c r="N12" s="2" t="n"/>
      <c r="O12" s="2" t="n"/>
    </row>
    <row r="13">
      <c r="A13" s="6" t="n">
        <v>46257</v>
      </c>
      <c r="B13" s="11" t="inlineStr">
        <is>
          <t>BC</t>
        </is>
      </c>
      <c r="C13" s="11" t="inlineStr">
        <is>
          <t>BC-1</t>
        </is>
      </c>
      <c r="D13" s="11" t="n">
        <v>1</v>
      </c>
      <c r="E13" s="11"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11" t="inlineStr">
        <is>
          <t>06008b2, 56d5478, 99b42a6, f2e7e52</t>
        </is>
      </c>
      <c r="G13" s="11" t="inlineStr">
        <is>
          <t>No</t>
        </is>
      </c>
      <c r="H13" s="11" t="n"/>
      <c r="J13" s="2" t="n"/>
      <c r="K13" s="2" t="n"/>
      <c r="L13" s="2" t="n"/>
      <c r="M13" s="2" t="n"/>
      <c r="N13" s="2" t="n"/>
      <c r="O13" s="2" t="n"/>
    </row>
    <row r="14">
      <c r="A14" s="6" t="n">
        <v>46257</v>
      </c>
      <c r="B14" s="11" t="inlineStr">
        <is>
          <t>BC</t>
        </is>
      </c>
      <c r="C14" s="11" t="inlineStr">
        <is>
          <t>BC-1</t>
        </is>
      </c>
      <c r="D14" s="11" t="n">
        <v>2</v>
      </c>
      <c r="E14" s="11"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11" t="inlineStr">
        <is>
          <t>671cab7, 48892dd, b00332f, 4373116, a25c0c7</t>
        </is>
      </c>
      <c r="G14" s="11" t="inlineStr">
        <is>
          <t>No</t>
        </is>
      </c>
      <c r="H14" s="11" t="n"/>
      <c r="J14" s="2" t="n"/>
      <c r="K14" s="2" t="n"/>
      <c r="L14" s="2" t="n"/>
      <c r="M14" s="2" t="n"/>
      <c r="N14" s="2" t="n"/>
      <c r="O14" s="2" t="n"/>
    </row>
    <row r="15">
      <c r="A15" s="6" t="n">
        <v>46259</v>
      </c>
      <c r="B15" s="11" t="inlineStr">
        <is>
          <t>BC</t>
        </is>
      </c>
      <c r="C15" s="11" t="inlineStr">
        <is>
          <t>BC-5</t>
        </is>
      </c>
      <c r="D15" s="11" t="n">
        <v>3</v>
      </c>
      <c r="E15" s="11"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11" t="inlineStr">
        <is>
          <t>81f0995</t>
        </is>
      </c>
      <c r="G15" s="11" t="inlineStr">
        <is>
          <t>No</t>
        </is>
      </c>
      <c r="H15" s="11" t="n"/>
      <c r="J15" s="2" t="n"/>
      <c r="K15" s="2" t="n"/>
      <c r="L15" s="2" t="n"/>
      <c r="M15" s="2" t="n"/>
      <c r="N15" s="2" t="n"/>
      <c r="O15" s="2" t="n"/>
    </row>
    <row r="16">
      <c r="A16" s="6" t="n">
        <v>46259</v>
      </c>
      <c r="B16" s="11" t="inlineStr">
        <is>
          <t>AN</t>
        </is>
      </c>
      <c r="C16" s="11" t="inlineStr">
        <is>
          <t>AN-1</t>
        </is>
      </c>
      <c r="D16" s="11" t="n">
        <v>3</v>
      </c>
      <c r="E16" s="11"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11" t="inlineStr">
        <is>
          <t>sin commitear</t>
        </is>
      </c>
      <c r="G16" s="11" t="inlineStr">
        <is>
          <t>No</t>
        </is>
      </c>
      <c r="H16" s="11" t="n"/>
      <c r="J16" s="2" t="n"/>
      <c r="K16" s="2" t="n"/>
      <c r="L16" s="2" t="n"/>
      <c r="M16" s="2" t="n"/>
      <c r="N16" s="2" t="n"/>
      <c r="O16" s="2" t="n"/>
    </row>
    <row r="17">
      <c r="A17" s="6" t="n">
        <v>46260</v>
      </c>
      <c r="B17" s="11" t="inlineStr">
        <is>
          <t>BC</t>
        </is>
      </c>
      <c r="C17" s="11" t="inlineStr">
        <is>
          <t>BC-6</t>
        </is>
      </c>
      <c r="D17" s="11" t="n">
        <v>4</v>
      </c>
      <c r="E17" s="11"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11" t="n"/>
      <c r="G17" s="11" t="n"/>
      <c r="H17" s="11" t="n"/>
      <c r="J17" s="2" t="n"/>
      <c r="K17" s="2" t="n"/>
      <c r="L17" s="2" t="n"/>
      <c r="M17" s="2" t="n"/>
      <c r="N17" s="2" t="n"/>
      <c r="O17" s="2" t="n"/>
    </row>
    <row r="18">
      <c r="A18" s="6" t="n">
        <v>46260</v>
      </c>
      <c r="B18" s="11" t="inlineStr">
        <is>
          <t>AN</t>
        </is>
      </c>
      <c r="C18" s="11" t="inlineStr">
        <is>
          <t>AN-1</t>
        </is>
      </c>
      <c r="D18" s="11" t="n">
        <v>3</v>
      </c>
      <c r="E18" s="11" t="inlineStr">
        <is>
          <t>Destinatario srv: del teléfono alineado con el de la unidad, y validado en hardware: cifra para los dos, el servidor lo abre, el hash de Room es el real</t>
        </is>
      </c>
      <c r="F18" s="11" t="n"/>
      <c r="G18" s="11" t="n"/>
      <c r="H18" s="11" t="n"/>
      <c r="J18" s="2" t="n"/>
      <c r="K18" s="2" t="n"/>
      <c r="L18" s="2" t="n"/>
      <c r="M18" s="2" t="n"/>
      <c r="N18" s="2" t="n"/>
      <c r="O18" s="2" t="n"/>
    </row>
    <row r="19">
      <c r="A19" s="6" t="n">
        <v>46260</v>
      </c>
      <c r="B19" s="11" t="inlineStr">
        <is>
          <t>AN</t>
        </is>
      </c>
      <c r="C19" s="11" t="inlineStr">
        <is>
          <t>AN-1</t>
        </is>
      </c>
      <c r="D19" s="11" t="n">
        <v>2</v>
      </c>
      <c r="E19" s="11" t="inlineStr">
        <is>
          <t>Subida por bloques portada al teléfono: data/upload/ completo, enganche en foto, vídeo y audio, reconciliación del estado  de sincronización. Validado: vídeo de 68 MB con corte y reanudación, más dos ficheros retomados solos al arrancar</t>
        </is>
      </c>
      <c r="F19" s="11" t="n"/>
      <c r="G19" s="11" t="n"/>
      <c r="H19" s="11" t="n"/>
      <c r="J19" s="2" t="n"/>
      <c r="K19" s="2" t="n"/>
      <c r="L19" s="2" t="n"/>
      <c r="M19" s="2" t="n"/>
      <c r="N19" s="2" t="n"/>
      <c r="O19" s="2" t="n"/>
    </row>
    <row r="20">
      <c r="A20" s="6" t="n">
        <v>46261</v>
      </c>
      <c r="B20" s="11" t="inlineStr">
        <is>
          <t>BC</t>
        </is>
      </c>
      <c r="C20" s="11" t="inlineStr">
        <is>
          <t>BC-1</t>
        </is>
      </c>
      <c r="D20" s="11" t="n">
        <v>1</v>
      </c>
      <c r="E20" s="11" t="inlineStr">
        <is>
          <t>Inventario de entrega a backend: revisión del contrato de subida, formato de cifrado y manifest.
Detectados 4 huecos (esquema del manifest.json sin documentar, falta juego de muestra, endpoint HTTPS + CA, rechazo
de kid dev-*)</t>
        </is>
      </c>
      <c r="F20" s="11" t="n"/>
      <c r="G20" s="11" t="n"/>
      <c r="H20" s="11" t="n"/>
      <c r="J20" s="2" t="n"/>
      <c r="K20" s="2" t="n"/>
      <c r="L20" s="2" t="n"/>
      <c r="M20" s="2" t="n"/>
      <c r="N20" s="2" t="n"/>
      <c r="O20" s="2" t="n"/>
    </row>
    <row r="21" ht="15.75" customHeight="1" s="15">
      <c r="A21" s="6" t="n">
        <v>46261</v>
      </c>
      <c r="B21" s="11" t="inlineStr">
        <is>
          <t>BC</t>
        </is>
      </c>
      <c r="C21" s="11" t="inlineStr">
        <is>
          <t>BC-1</t>
        </is>
      </c>
      <c r="D21" s="11" t="n">
        <v>1</v>
      </c>
      <c r="E21" s="11" t="inlineStr">
        <is>
          <t xml:space="preserve"> Firma de release: keystore único de proyecto (PKCS12, RSA 4096), signingConfig vía local.properties,
versión 1.2→1.3 (code 4), APK firmado y verificado (v2)</t>
        </is>
      </c>
      <c r="F21" s="11" t="n"/>
      <c r="G21" s="11" t="n"/>
      <c r="H21" s="11" t="n"/>
      <c r="J21" s="2" t="n"/>
      <c r="K21" s="2" t="n"/>
      <c r="L21" s="2" t="n"/>
      <c r="M21" s="2" t="n"/>
      <c r="N21" s="2" t="n"/>
      <c r="O21" s="2" t="n"/>
    </row>
    <row r="22" ht="15.75" customHeight="1" s="15">
      <c r="A22" s="6" t="n">
        <v>46261</v>
      </c>
      <c r="B22" s="11" t="inlineStr">
        <is>
          <t>AN</t>
        </is>
      </c>
      <c r="C22" s="11" t="inlineStr">
        <is>
          <t>AN-1</t>
        </is>
      </c>
      <c r="D22" s="11" t="n">
        <v>1</v>
      </c>
      <c r="E22" s="11" t="inlineStr">
        <is>
          <t xml:space="preserve"> Firma de release con el mismo keystore, versión 1.0→1.1 (code 2), APK firmado y verificado. R8 con minify</t>
        </is>
      </c>
      <c r="F22" s="11" t="n"/>
      <c r="G22" s="11" t="n"/>
      <c r="H22" s="11" t="n"/>
      <c r="J22" s="2" t="n"/>
      <c r="K22" s="2" t="n"/>
      <c r="L22" s="2" t="n"/>
      <c r="M22" s="2" t="n"/>
      <c r="N22" s="2" t="n"/>
      <c r="O22" s="2" t="n"/>
    </row>
    <row r="23" ht="15.75" customHeight="1" s="15">
      <c r="A23" s="6" t="n">
        <v>46263</v>
      </c>
      <c r="B23" s="11" t="inlineStr">
        <is>
          <t>AN</t>
        </is>
      </c>
      <c r="C23" s="11" t="inlineStr">
        <is>
          <t>AN-1</t>
        </is>
      </c>
      <c r="D23" s="11" t="n">
        <v>3</v>
      </c>
      <c r="E23" s="11" t="inlineStr">
        <is>
          <t xml:space="preserve"> Bóveda con contraseña: EvidenceVault, RSA + PBKDF2 + Keystore, destinatarios de clave.  Captura fuera de la galería: LocalEvidenceRepository sin MediaStore, borrado del claro. Pantalla Evidence Vault, VaultRepository, entrada desde Profile</t>
        </is>
      </c>
      <c r="F23" s="11" t="n"/>
      <c r="G23" s="11" t="n"/>
      <c r="H23" s="11" t="n"/>
      <c r="J23" s="2" t="n"/>
      <c r="K23" s="2" t="n"/>
      <c r="L23" s="2" t="n"/>
      <c r="M23" s="2" t="n"/>
      <c r="N23" s="2" t="n"/>
      <c r="O23" s="2" t="n"/>
    </row>
    <row r="24" ht="15.75" customHeight="1" s="15">
      <c r="A24" s="6" t="n">
        <v>46264</v>
      </c>
      <c r="B24" s="11" t="inlineStr">
        <is>
          <t>AN</t>
        </is>
      </c>
      <c r="C24" s="11" t="inlineStr">
        <is>
          <t>AN-1</t>
        </is>
      </c>
      <c r="D24" s="11" t="n">
        <v>2</v>
      </c>
      <c r="E24" s="11" t="inlineStr">
        <is>
          <t xml:space="preserve"> reproductor de audio dentro de la app , nota de audio enlazada al cerrar el incidente. Clasificación de la nota de audio + cierre encadenado; pruebas con adb</t>
        </is>
      </c>
      <c r="F24" s="11" t="n"/>
      <c r="G24" s="11" t="n"/>
      <c r="H24" s="11" t="n"/>
      <c r="J24" s="2" t="n"/>
      <c r="K24" s="2" t="n"/>
      <c r="L24" s="2" t="n"/>
      <c r="M24" s="2" t="n"/>
      <c r="N24" s="2" t="n"/>
      <c r="O24" s="2" t="n"/>
    </row>
    <row r="25" ht="15.75" customHeight="1" s="15">
      <c r="A25" s="6" t="n">
        <v>46264</v>
      </c>
      <c r="B25" s="11" t="inlineStr">
        <is>
          <t>BC</t>
        </is>
      </c>
      <c r="C25" s="11" t="inlineStr">
        <is>
          <t>BC-1</t>
        </is>
      </c>
      <c r="D25" s="11" t="n">
        <v>1</v>
      </c>
      <c r="E25" s="11" t="inlineStr">
        <is>
          <t>Avance documentacion</t>
        </is>
      </c>
      <c r="F25" s="11" t="n"/>
      <c r="G25" s="11" t="n"/>
      <c r="H25" s="11" t="n"/>
      <c r="J25" s="2" t="n"/>
      <c r="K25" s="2" t="n"/>
      <c r="L25" s="2" t="n"/>
      <c r="M25" s="2" t="n"/>
      <c r="N25" s="2" t="n"/>
      <c r="O25" s="2" t="n"/>
    </row>
    <row r="26" ht="15.75" customHeight="1" s="15">
      <c r="A26" s="2" t="n"/>
      <c r="B26" s="2" t="n"/>
      <c r="C26" s="2" t="n"/>
      <c r="D26" s="2" t="n"/>
      <c r="E26" s="2" t="n"/>
      <c r="F26" s="2" t="n"/>
      <c r="G26" s="2" t="n"/>
      <c r="H26" s="2" t="n"/>
      <c r="J26" s="2" t="n"/>
      <c r="K26" s="2" t="n"/>
      <c r="L26" s="2" t="n"/>
      <c r="M26" s="2" t="n"/>
      <c r="N26" s="2" t="n"/>
      <c r="O26" s="2" t="n"/>
    </row>
    <row r="27" ht="15.75" customHeight="1" s="15">
      <c r="A27" s="2" t="n"/>
      <c r="B27" s="2" t="n"/>
      <c r="C27" s="2" t="n"/>
      <c r="D27" s="2" t="n"/>
      <c r="E27" s="2" t="n"/>
      <c r="F27" s="2" t="n"/>
      <c r="G27" s="2" t="n"/>
      <c r="H27" s="2" t="n"/>
      <c r="J27" s="2" t="n"/>
      <c r="K27" s="2" t="n"/>
      <c r="L27" s="2" t="n"/>
      <c r="M27" s="2" t="n"/>
      <c r="N27" s="2" t="n"/>
      <c r="O27" s="2" t="n"/>
    </row>
    <row r="28" ht="15.75" customHeight="1" s="15">
      <c r="A28" s="2" t="n"/>
      <c r="B28" s="2" t="n"/>
      <c r="C28" s="2" t="n"/>
      <c r="D28" s="2" t="n"/>
      <c r="E28" s="2" t="n"/>
      <c r="F28" s="2" t="n"/>
      <c r="G28" s="2" t="n"/>
      <c r="H28" s="2" t="n"/>
      <c r="J28" s="2" t="n"/>
      <c r="K28" s="2" t="n"/>
      <c r="L28" s="2" t="n"/>
      <c r="M28" s="2" t="n"/>
      <c r="N28" s="2" t="n"/>
      <c r="O28" s="2" t="n"/>
    </row>
    <row r="29" ht="15.75" customHeight="1" s="15">
      <c r="A29" s="2" t="n"/>
      <c r="B29" s="2" t="n"/>
      <c r="C29" s="2" t="n"/>
      <c r="D29" s="2" t="n"/>
      <c r="E29" s="2" t="n"/>
      <c r="F29" s="2" t="n"/>
      <c r="G29" s="2" t="n"/>
      <c r="H29" s="2" t="n"/>
      <c r="J29" s="2" t="n"/>
      <c r="K29" s="2" t="n"/>
      <c r="L29" s="2" t="n"/>
      <c r="M29" s="2" t="n"/>
      <c r="N29" s="2" t="n"/>
      <c r="O29" s="2" t="n"/>
    </row>
    <row r="30" ht="15.75" customHeight="1" s="15">
      <c r="A30" s="2" t="n"/>
      <c r="B30" s="2" t="n"/>
      <c r="C30" s="2" t="n"/>
      <c r="D30" s="2" t="n"/>
      <c r="E30" s="2" t="n"/>
      <c r="F30" s="2" t="n"/>
      <c r="G30" s="2" t="n"/>
      <c r="H30" s="2" t="n"/>
      <c r="J30" s="2" t="n"/>
      <c r="K30" s="2" t="n"/>
      <c r="L30" s="2" t="n"/>
      <c r="M30" s="2" t="n"/>
      <c r="N30" s="2" t="n"/>
      <c r="O30" s="2" t="n"/>
    </row>
    <row r="31" ht="15.75" customHeight="1" s="15">
      <c r="A31" s="2" t="n"/>
      <c r="B31" s="2" t="n"/>
      <c r="C31" s="2" t="n"/>
      <c r="D31" s="2" t="n"/>
      <c r="E31" s="2" t="n"/>
      <c r="F31" s="2" t="n"/>
      <c r="G31" s="2" t="n"/>
      <c r="H31" s="2" t="n"/>
      <c r="J31" s="2" t="n"/>
      <c r="K31" s="2" t="n"/>
      <c r="L31" s="2" t="n"/>
      <c r="M31" s="2" t="n"/>
      <c r="N31" s="2" t="n"/>
      <c r="O31" s="2" t="n"/>
    </row>
    <row r="32" ht="15.75" customHeight="1" s="15">
      <c r="A32" s="2" t="n"/>
      <c r="B32" s="2" t="n"/>
      <c r="C32" s="2" t="n"/>
      <c r="D32" s="2" t="n"/>
      <c r="E32" s="2" t="n"/>
      <c r="F32" s="2" t="n"/>
      <c r="G32" s="2" t="n"/>
      <c r="H32" s="2" t="n"/>
      <c r="J32" s="2" t="n"/>
      <c r="K32" s="2" t="n"/>
      <c r="L32" s="2" t="n"/>
      <c r="M32" s="2" t="n"/>
      <c r="N32" s="2" t="n"/>
      <c r="O32" s="2" t="n"/>
    </row>
    <row r="33" ht="15.75" customHeight="1" s="15">
      <c r="A33" s="2" t="n"/>
      <c r="B33" s="2" t="n"/>
      <c r="C33" s="2" t="n"/>
      <c r="D33" s="2" t="n"/>
      <c r="E33" s="2" t="n"/>
      <c r="F33" s="2" t="n"/>
      <c r="G33" s="2" t="n"/>
      <c r="H33" s="2" t="n"/>
      <c r="J33" s="2" t="n"/>
      <c r="K33" s="2" t="n"/>
      <c r="L33" s="2" t="n"/>
      <c r="M33" s="2" t="n"/>
      <c r="N33" s="2" t="n"/>
      <c r="O33" s="2" t="n"/>
    </row>
    <row r="34" ht="15.75" customHeight="1" s="15">
      <c r="A34" s="2" t="n"/>
      <c r="B34" s="2" t="n"/>
      <c r="C34" s="2" t="n"/>
      <c r="D34" s="2" t="n"/>
      <c r="E34" s="2" t="n"/>
      <c r="F34" s="2" t="n"/>
      <c r="G34" s="2" t="n"/>
      <c r="H34" s="2" t="n"/>
      <c r="J34" s="2" t="n"/>
      <c r="K34" s="2" t="n"/>
      <c r="L34" s="2" t="n"/>
      <c r="M34" s="2" t="n"/>
      <c r="N34" s="2" t="n"/>
      <c r="O34" s="2" t="n"/>
    </row>
    <row r="35" ht="15.75" customHeight="1" s="15">
      <c r="A35" s="2" t="n"/>
      <c r="B35" s="2" t="n"/>
      <c r="C35" s="2" t="n"/>
      <c r="D35" s="2" t="n"/>
      <c r="E35" s="2" t="n"/>
      <c r="F35" s="2" t="n"/>
      <c r="G35" s="2" t="n"/>
      <c r="H35" s="2" t="n"/>
      <c r="J35" s="2" t="n"/>
      <c r="K35" s="2" t="n"/>
      <c r="L35" s="2" t="n"/>
      <c r="M35" s="2" t="n"/>
      <c r="N35" s="2" t="n"/>
      <c r="O35" s="2" t="n"/>
    </row>
    <row r="36" ht="15.75" customHeight="1" s="15">
      <c r="A36" s="2" t="n"/>
      <c r="B36" s="2" t="n"/>
      <c r="C36" s="2" t="n"/>
      <c r="D36" s="2" t="n"/>
      <c r="E36" s="2" t="n"/>
      <c r="F36" s="2" t="n"/>
      <c r="G36" s="2" t="n"/>
      <c r="H36" s="2" t="n"/>
      <c r="J36" s="2" t="n"/>
      <c r="K36" s="2" t="n"/>
      <c r="L36" s="2" t="n"/>
      <c r="M36" s="2" t="n"/>
      <c r="N36" s="2" t="n"/>
      <c r="O36" s="2" t="n"/>
    </row>
    <row r="37" ht="15.75" customHeight="1" s="15">
      <c r="A37" s="2" t="n"/>
      <c r="B37" s="2" t="n"/>
      <c r="C37" s="2" t="n"/>
      <c r="D37" s="2" t="n"/>
      <c r="E37" s="2" t="n"/>
      <c r="F37" s="2" t="n"/>
      <c r="G37" s="2" t="n"/>
      <c r="H37" s="2" t="n"/>
      <c r="J37" s="2" t="n"/>
      <c r="K37" s="2" t="n"/>
      <c r="L37" s="2" t="n"/>
      <c r="M37" s="2" t="n"/>
      <c r="N37" s="2" t="n"/>
      <c r="O37" s="2" t="n"/>
    </row>
    <row r="38" ht="15.75" customHeight="1" s="15">
      <c r="A38" s="2" t="n"/>
      <c r="B38" s="2" t="n"/>
      <c r="C38" s="2" t="n"/>
      <c r="D38" s="2" t="n"/>
      <c r="E38" s="2" t="n"/>
      <c r="F38" s="2" t="n"/>
      <c r="G38" s="2" t="n"/>
      <c r="H38" s="2" t="n"/>
      <c r="J38" s="2" t="n"/>
      <c r="K38" s="2" t="n"/>
      <c r="L38" s="2" t="n"/>
      <c r="M38" s="2" t="n"/>
      <c r="N38" s="2" t="n"/>
      <c r="O38" s="2" t="n"/>
    </row>
    <row r="39" ht="15.75" customHeight="1" s="15">
      <c r="A39" s="2" t="n"/>
      <c r="B39" s="2" t="n"/>
      <c r="C39" s="2" t="n"/>
      <c r="D39" s="2" t="n"/>
      <c r="E39" s="2" t="n"/>
      <c r="F39" s="2" t="n"/>
      <c r="G39" s="2" t="n"/>
      <c r="H39" s="2" t="n"/>
      <c r="J39" s="2" t="n"/>
      <c r="K39" s="2" t="n"/>
      <c r="L39" s="2" t="n"/>
      <c r="M39" s="2" t="n"/>
      <c r="N39" s="2" t="n"/>
      <c r="O39" s="2" t="n"/>
    </row>
    <row r="40" ht="15.75" customHeight="1" s="15">
      <c r="A40" s="2" t="n"/>
      <c r="B40" s="2" t="n"/>
      <c r="C40" s="2" t="n"/>
      <c r="D40" s="2" t="n"/>
      <c r="E40" s="2" t="n"/>
      <c r="F40" s="2" t="n"/>
      <c r="G40" s="2" t="n"/>
      <c r="H40" s="2" t="n"/>
      <c r="J40" s="2" t="n"/>
      <c r="K40" s="2" t="n"/>
      <c r="L40" s="2" t="n"/>
      <c r="M40" s="2" t="n"/>
      <c r="N40" s="2" t="n"/>
      <c r="O40" s="2" t="n"/>
    </row>
    <row r="41" ht="15.75" customHeight="1" s="15">
      <c r="A41" s="2" t="n"/>
      <c r="B41" s="2" t="n"/>
      <c r="C41" s="2" t="n"/>
      <c r="D41" s="2" t="n"/>
      <c r="E41" s="2" t="n"/>
      <c r="F41" s="2" t="n"/>
      <c r="G41" s="2" t="n"/>
      <c r="H41" s="2" t="n"/>
      <c r="J41" s="2" t="n"/>
      <c r="K41" s="2" t="n"/>
      <c r="L41" s="2" t="n"/>
      <c r="M41" s="2" t="n"/>
      <c r="N41" s="2" t="n"/>
      <c r="O41" s="2" t="n"/>
    </row>
    <row r="42" ht="15.75" customHeight="1" s="15">
      <c r="A42" s="2" t="n"/>
      <c r="B42" s="2" t="n"/>
      <c r="C42" s="10" t="inlineStr">
        <is>
          <t>TOTAL HORAS</t>
        </is>
      </c>
      <c r="D42" s="10">
        <f>SUM($D$4:$D$40)</f>
        <v/>
      </c>
      <c r="E42" s="2" t="n"/>
      <c r="F42" s="2" t="n"/>
      <c r="G42" s="2" t="n"/>
      <c r="H42" s="2" t="n"/>
      <c r="J42" s="2" t="n"/>
      <c r="K42" s="2" t="n"/>
      <c r="L42" s="2" t="n"/>
      <c r="M42" s="2" t="n"/>
      <c r="N42" s="2" t="n"/>
      <c r="O42" s="2" t="n"/>
    </row>
    <row r="43" ht="15.75" customHeight="1" s="15">
      <c r="A43" s="2" t="n"/>
      <c r="B43" s="2" t="n"/>
      <c r="C43" s="2" t="n"/>
      <c r="D43" s="2" t="n"/>
      <c r="E43" s="2" t="n"/>
      <c r="F43" s="2" t="n"/>
      <c r="G43" s="2" t="n"/>
      <c r="H43" s="2" t="n"/>
      <c r="J43" s="2" t="n"/>
      <c r="K43" s="2" t="n"/>
      <c r="L43" s="2" t="n"/>
      <c r="M43" s="2" t="n"/>
      <c r="N43" s="2" t="n"/>
      <c r="O43" s="2" t="n"/>
    </row>
    <row r="44" ht="15.75" customHeight="1" s="15">
      <c r="A44" s="2" t="n"/>
      <c r="B44" s="2" t="n"/>
      <c r="C44" s="2" t="n"/>
      <c r="D44" s="2" t="n"/>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15.75" customHeight="1" s="15">
      <c r="A46" s="2" t="n"/>
      <c r="B46" s="2" t="n"/>
      <c r="C46" s="2" t="n"/>
      <c r="D46" s="2" t="n"/>
      <c r="E46" s="2" t="n"/>
      <c r="F46" s="2" t="n"/>
      <c r="G46" s="2" t="n"/>
      <c r="H46" s="2" t="n"/>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2">
    <mergeCell ref="A2:H2"/>
    <mergeCell ref="A1:H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septiembre 2026</t>
        </is>
      </c>
      <c r="K3" s="2" t="n"/>
      <c r="L3" s="2" t="n"/>
      <c r="M3" s="2" t="n"/>
      <c r="N3" s="2" t="n"/>
      <c r="O3" s="2" t="n"/>
    </row>
    <row r="4">
      <c r="A4" s="6" t="n">
        <v>46268</v>
      </c>
      <c r="B4" s="11" t="inlineStr">
        <is>
          <t>AN</t>
        </is>
      </c>
      <c r="C4" s="11" t="inlineStr">
        <is>
          <t>AN-2</t>
        </is>
      </c>
      <c r="D4" s="11" t="n">
        <v>4</v>
      </c>
      <c r="E4" s="11" t="inlineStr">
        <is>
          <t>IAM AeriaOne, analisis: lectura de los dos documentos de ciberseguridad (arquitectura de 16 secciones con requisitos IAM-01..20, y catalogo de 68 workflows), reparto de responsabilidad (47 tocan al APK o a la bodycam) y plan por fases con estimacion</t>
        </is>
      </c>
      <c r="F4" s="11" t="n"/>
      <c r="G4" s="11" t="inlineStr">
        <is>
          <t>No</t>
        </is>
      </c>
      <c r="H4" s="11" t="inlineStr">
        <is>
          <t>ESTIMADO - CONFIRMAR</t>
        </is>
      </c>
      <c r="J4" s="4" t="inlineStr">
        <is>
          <t>Aplicación</t>
        </is>
      </c>
      <c r="K4" s="4" t="inlineStr">
        <is>
          <t>Bloques</t>
        </is>
      </c>
      <c r="L4" s="4" t="inlineStr">
        <is>
          <t>Días activ.</t>
        </is>
      </c>
      <c r="M4" s="4" t="inlineStr">
        <is>
          <t>Líneas código</t>
        </is>
      </c>
      <c r="N4" s="4" t="inlineStr">
        <is>
          <t>Horas</t>
        </is>
      </c>
      <c r="O4" s="4" t="inlineStr">
        <is>
          <t>Importe</t>
        </is>
      </c>
    </row>
    <row r="5">
      <c r="A5" s="6" t="n">
        <v>46269</v>
      </c>
      <c r="B5" s="11" t="inlineStr">
        <is>
          <t>AN</t>
        </is>
      </c>
      <c r="C5" s="11" t="inlineStr">
        <is>
          <t>AN-2</t>
        </is>
      </c>
      <c r="D5" s="11" t="n">
        <v>1.5</v>
      </c>
      <c r="E5" s="11" t="inlineStr">
        <is>
          <t>Maquina de estados de confianza y pantalla de bloqueo: siete estados de arranque, TrustGate por delante de la navegacion, PIN de 6 digitos con limite de intentos y bloqueo escalonado. Verificado en el Redmi</t>
        </is>
      </c>
      <c r="F5" s="11" t="inlineStr">
        <is>
          <t>f52a7b4</t>
        </is>
      </c>
      <c r="G5" s="11" t="inlineStr">
        <is>
          <t>No</t>
        </is>
      </c>
      <c r="H5" s="11" t="inlineStr">
        <is>
          <t>reloj de sesion 10:25-12:31</t>
        </is>
      </c>
      <c r="J5" s="13" t="inlineStr">
        <is>
          <t>BodyCamServer</t>
        </is>
      </c>
      <c r="K5" s="11" t="inlineStr">
        <is>
          <t>BC-7, BC-8, BC-9, BC-10</t>
        </is>
      </c>
      <c r="L5" s="13">
        <f>SUMPRODUCT(($B$4:$B$33="BC")/COUNTIFS($A$4:$A$33,$A$4:$A$33&amp;"",$B$4:$B$33,$B$4:$B$33&amp;""))</f>
        <v/>
      </c>
      <c r="M5" s="13" t="n">
        <v>3343</v>
      </c>
      <c r="N5" s="13">
        <f>SUMIFS($D$4:$D$33,$B$4:$B$33,"BC",$G$4:$G$33,"&lt;&gt;Sí")</f>
        <v/>
      </c>
      <c r="O5" s="9">
        <f>N5*$K$9</f>
        <v/>
      </c>
    </row>
    <row r="6">
      <c r="A6" s="6" t="n">
        <v>46269</v>
      </c>
      <c r="B6" s="11" t="inlineStr">
        <is>
          <t>AN</t>
        </is>
      </c>
      <c r="C6" s="11" t="inlineStr">
        <is>
          <t>AN-2</t>
        </is>
      </c>
      <c r="D6" s="11" t="n">
        <v>0.5</v>
      </c>
      <c r="E6" s="11" t="inlineStr">
        <is>
          <t>Workflow 12, alta del telefono: par EC P-256 dentro del TEE con cadena de atestacion, PKCS#10 escrito a mano (sin BouncyCastle, ~130 lineas), CSR validado con openssl y prueba de posesion. 7 pruebas JVM. Verificado en el Redmi</t>
        </is>
      </c>
      <c r="F6" s="11" t="inlineStr">
        <is>
          <t>57081f9</t>
        </is>
      </c>
      <c r="G6" s="11" t="inlineStr">
        <is>
          <t>No</t>
        </is>
      </c>
      <c r="H6" s="11" t="inlineStr">
        <is>
          <t>reloj de sesion 10:25-12:31</t>
        </is>
      </c>
      <c r="J6" s="13" t="inlineStr">
        <is>
          <t>AeriaNexusPrototype</t>
        </is>
      </c>
      <c r="K6" s="11" t="inlineStr">
        <is>
          <t>AN-2, AN-3, AN-4, AN-5, AN-6, AN-7, AN-8, AN-9</t>
        </is>
      </c>
      <c r="L6" s="13">
        <f>SUMPRODUCT(($B$4:$B$33="AN")/COUNTIFS($A$4:$A$33,$A$4:$A$33&amp;"",$B$4:$B$33,$B$4:$B$33&amp;""))</f>
        <v/>
      </c>
      <c r="M6" s="13" t="n">
        <v>15629</v>
      </c>
      <c r="N6" s="13">
        <f>SUMIFS($D$4:$D$33,$B$4:$B$33,"AN",$G$4:$G$33,"&lt;&gt;Sí")</f>
        <v/>
      </c>
      <c r="O6" s="9">
        <f>N6*$K$9</f>
        <v/>
      </c>
    </row>
    <row r="7">
      <c r="A7" s="6" t="n">
        <v>46271</v>
      </c>
      <c r="B7" s="11" t="inlineStr">
        <is>
          <t>AN</t>
        </is>
      </c>
      <c r="C7" s="11" t="inlineStr">
        <is>
          <t>AN-2</t>
        </is>
      </c>
      <c r="D7" s="11" t="n">
        <v>1</v>
      </c>
      <c r="E7" s="11" t="inlineStr">
        <is>
          <t>Seguimiento propio de los 68 workflows: libro de 10 hojas cruzando el catalogo de ciberseguridad con el repositorio, con los 162 pasos de sus hojas de detalle marcados uno a uno</t>
        </is>
      </c>
      <c r="F7" s="11" t="n"/>
      <c r="G7" s="11" t="inlineStr">
        <is>
          <t>No</t>
        </is>
      </c>
      <c r="H7" s="11" t="inlineStr">
        <is>
          <t>reloj de sesion 16:19-20:42 (total medido; reparto por tarea estimado)</t>
        </is>
      </c>
      <c r="J7" s="10" t="inlineStr">
        <is>
          <t>TOTAL DEL MES</t>
        </is>
      </c>
      <c r="K7" s="13">
        <f>SUMPRODUCT(($C$4:$C$33&lt;&gt;"")/COUNTIF($C$4:$C$33,$C$4:$C$33&amp;""))</f>
        <v/>
      </c>
      <c r="L7" s="13">
        <f>SUMPRODUCT(($A$4:$A$33&lt;&gt;"")/COUNTIF($A$4:$A$33,$A$4:$A$33&amp;""))</f>
        <v/>
      </c>
      <c r="M7" s="10">
        <f>SUM(M5:M6)</f>
        <v/>
      </c>
      <c r="N7" s="10">
        <f>SUM(N5:N6)</f>
        <v/>
      </c>
      <c r="O7" s="12">
        <f>SUM(O5:O6)</f>
        <v/>
      </c>
    </row>
    <row r="8">
      <c r="A8" s="6" t="n">
        <v>46271</v>
      </c>
      <c r="B8" s="11" t="inlineStr">
        <is>
          <t>AN</t>
        </is>
      </c>
      <c r="C8" s="11" t="inlineStr">
        <is>
          <t>AN-2</t>
        </is>
      </c>
      <c r="D8" s="11" t="n">
        <v>1</v>
      </c>
      <c r="E8" s="11" t="inlineStr">
        <is>
          <t>Workflow 3, certificado del agente: segundo par de claves con alias propio (separado del telefono, regla de no equivalencia), CSR contrafirmado por el terminal y CA de usuario separada de la de dispositivos. 5 pruebas JVM. Verificado en el Redmi</t>
        </is>
      </c>
      <c r="F8" s="11" t="n"/>
      <c r="G8" s="11" t="inlineStr">
        <is>
          <t>No</t>
        </is>
      </c>
      <c r="H8" s="11" t="inlineStr">
        <is>
          <t>reloj de sesion 16:19-20:42 (total medido; reparto por tarea estimado)</t>
        </is>
      </c>
      <c r="J8" s="2" t="n"/>
      <c r="K8" s="2" t="n"/>
      <c r="L8" s="2" t="n"/>
      <c r="M8" s="2" t="n"/>
      <c r="N8" s="2" t="n"/>
      <c r="O8" s="2" t="n"/>
    </row>
    <row r="9">
      <c r="A9" s="6" t="n">
        <v>46271</v>
      </c>
      <c r="B9" s="11" t="inlineStr">
        <is>
          <t>AN</t>
        </is>
      </c>
      <c r="C9" s="11" t="inlineStr">
        <is>
          <t>AN-2</t>
        </is>
      </c>
      <c r="D9" s="11" t="n">
        <v>1</v>
      </c>
      <c r="E9" s="11"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11" t="n"/>
      <c r="G9" s="11" t="inlineStr">
        <is>
          <t>No</t>
        </is>
      </c>
      <c r="H9" s="11" t="inlineStr">
        <is>
          <t>reloj de sesion 16:19-20:42 (total medido; reparto por tarea estimado)</t>
        </is>
      </c>
      <c r="J9" s="10" t="inlineStr">
        <is>
          <t>Tarifa (€/h)</t>
        </is>
      </c>
      <c r="K9" s="13" t="n">
        <v>20</v>
      </c>
      <c r="L9" s="2" t="n"/>
      <c r="M9" s="2" t="n"/>
      <c r="N9" s="2" t="n"/>
      <c r="O9" s="2" t="n"/>
    </row>
    <row r="10">
      <c r="A10" s="6" t="n">
        <v>46271</v>
      </c>
      <c r="B10" s="11" t="inlineStr">
        <is>
          <t>AN</t>
        </is>
      </c>
      <c r="C10" s="11" t="inlineStr">
        <is>
          <t>AN-2</t>
        </is>
      </c>
      <c r="D10" s="11" t="n">
        <v>1</v>
      </c>
      <c r="E10" s="11"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11" t="n"/>
      <c r="G10" s="11" t="inlineStr">
        <is>
          <t>No</t>
        </is>
      </c>
      <c r="H10" s="11" t="inlineStr">
        <is>
          <t>reloj de sesion 16:19-20:42 (total medido; reparto por tarea estimado)</t>
        </is>
      </c>
      <c r="J10" s="2" t="n"/>
      <c r="K10" s="2" t="n"/>
      <c r="L10" s="2" t="n"/>
      <c r="M10" s="2" t="n"/>
      <c r="N10" s="2" t="n"/>
      <c r="O10" s="2" t="n"/>
    </row>
    <row r="11">
      <c r="A11" s="6" t="n">
        <v>46271</v>
      </c>
      <c r="B11" s="11" t="inlineStr">
        <is>
          <t>AN</t>
        </is>
      </c>
      <c r="C11" s="11" t="inlineStr">
        <is>
          <t>AN-3</t>
        </is>
      </c>
      <c r="D11" s="11" t="n">
        <v>1</v>
      </c>
      <c r="E11" s="11" t="inlineStr">
        <is>
          <t>Workflow 31 (lado telefono): emparejamiento autenticado mutuo con la bodycam sobre el canal RFCOMM, e indicador de enlace de confianza en la barra superior. 6 pruebas JVM con cuatro ataques. Verificado contra la W1</t>
        </is>
      </c>
      <c r="F11" s="11" t="n"/>
      <c r="G11" s="11" t="inlineStr">
        <is>
          <t>No</t>
        </is>
      </c>
      <c r="H11" s="11" t="inlineStr">
        <is>
          <t>reloj de sesion 16:19-20:42 (total medido; reparto por tarea estimado)</t>
        </is>
      </c>
      <c r="J11" s="2" t="n"/>
      <c r="K11" s="2" t="n"/>
      <c r="L11" s="2" t="n"/>
      <c r="M11" s="2" t="n"/>
      <c r="N11" s="2" t="n"/>
      <c r="O11" s="2" t="n"/>
    </row>
    <row r="12">
      <c r="A12" s="6" t="n">
        <v>46271</v>
      </c>
      <c r="B12" s="11" t="inlineStr">
        <is>
          <t>BC</t>
        </is>
      </c>
      <c r="C12" s="11" t="inlineStr">
        <is>
          <t>BC-7</t>
        </is>
      </c>
      <c r="D12" s="11" t="n">
        <v>1</v>
      </c>
      <c r="E12" s="11" t="inlineStr">
        <is>
          <t>Workflows 13 y 31 (lado bodycam): identidad EC propia de la W1 en su Keystore, CSR y certificado emitido por la misma CA de dispositivos que los telefonos, y su mitad del emparejamiento. Verificado en la W1</t>
        </is>
      </c>
      <c r="F12" s="11" t="n"/>
      <c r="G12" s="11" t="inlineStr">
        <is>
          <t>No</t>
        </is>
      </c>
      <c r="H12" s="11" t="inlineStr">
        <is>
          <t>reloj de sesion 16:19-20:42 (total medido; reparto por tarea estimado)</t>
        </is>
      </c>
      <c r="J12" s="2" t="n"/>
      <c r="K12" s="2" t="n"/>
      <c r="L12" s="2" t="n"/>
      <c r="M12" s="2" t="n"/>
      <c r="N12" s="2" t="n"/>
      <c r="O12" s="2" t="n"/>
    </row>
    <row r="13">
      <c r="A13" s="6" t="n">
        <v>46271</v>
      </c>
      <c r="B13" s="11" t="inlineStr">
        <is>
          <t>AN</t>
        </is>
      </c>
      <c r="C13" s="11" t="inlineStr">
        <is>
          <t>AN-3</t>
        </is>
      </c>
      <c r="D13" s="11" t="n">
        <v>0.5</v>
      </c>
      <c r="E13" s="11" t="inlineStr">
        <is>
          <t>Workflows 33 y 34 (lado telefono): atadura agente-camara firmada con la clave del agente, con caducidad y deshecha al cerrar sesion. ESCRITO Y COMPILA, SIN VERIFICAR EN DISPOSITIVO</t>
        </is>
      </c>
      <c r="F13" s="11" t="n"/>
      <c r="G13" s="11" t="inlineStr">
        <is>
          <t>No</t>
        </is>
      </c>
      <c r="H13" s="11" t="inlineStr">
        <is>
          <t>reloj de sesion 16:19-20:42 (total medido; reparto por tarea estimado)</t>
        </is>
      </c>
      <c r="J13" s="2" t="n"/>
      <c r="K13" s="2" t="n"/>
      <c r="L13" s="2" t="n"/>
      <c r="M13" s="2" t="n"/>
      <c r="N13" s="2" t="n"/>
      <c r="O13" s="2" t="n"/>
    </row>
    <row r="14">
      <c r="A14" s="6" t="n">
        <v>46271</v>
      </c>
      <c r="B14" s="11" t="inlineStr">
        <is>
          <t>BC</t>
        </is>
      </c>
      <c r="C14" s="11" t="inlineStr">
        <is>
          <t>BC-7</t>
        </is>
      </c>
      <c r="D14" s="11" t="n">
        <v>0.5</v>
      </c>
      <c r="E14" s="11" t="inlineStr">
        <is>
          <t>Workflows 33 y 34 (lado bodycam): validacion de la atadura contra la CA de usuario, atada al nonce de la sesion de emparejamiento. ESCRITO Y COMPILA, SIN VERIFICAR EN DISPOSITIVO</t>
        </is>
      </c>
      <c r="F14" s="11" t="n"/>
      <c r="G14" s="11" t="inlineStr">
        <is>
          <t>No</t>
        </is>
      </c>
      <c r="H14" s="11" t="inlineStr">
        <is>
          <t>reloj de sesion 16:19-20:42 (total medido; reparto por tarea estimado)</t>
        </is>
      </c>
      <c r="J14" s="2" t="n"/>
      <c r="K14" s="2" t="n"/>
      <c r="L14" s="2" t="n"/>
      <c r="M14" s="2" t="n"/>
      <c r="N14" s="2" t="n"/>
      <c r="O14" s="2" t="n"/>
    </row>
    <row r="15">
      <c r="A15" s="6" t="n">
        <v>46272</v>
      </c>
      <c r="B15" s="11" t="inlineStr">
        <is>
          <t>AN</t>
        </is>
      </c>
      <c r="C15" s="11" t="inlineStr">
        <is>
          <t>AN-5</t>
        </is>
      </c>
      <c r="D15" s="11" t="n">
        <v>3</v>
      </c>
      <c r="E15" s="11"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11" t="inlineStr">
        <is>
          <t>8b7111d</t>
        </is>
      </c>
      <c r="G15" s="11" t="inlineStr">
        <is>
          <t>No</t>
        </is>
      </c>
      <c r="H15" s="11" t="inlineStr">
        <is>
          <t>indicado por el usuario; marcas de fichero 21:05-23:02</t>
        </is>
      </c>
      <c r="J15" s="2" t="n"/>
      <c r="K15" s="2" t="n"/>
      <c r="L15" s="2" t="n"/>
      <c r="M15" s="2" t="n"/>
      <c r="N15" s="2" t="n"/>
      <c r="O15" s="2" t="n"/>
    </row>
    <row r="16">
      <c r="A16" s="6" t="n">
        <v>46273</v>
      </c>
      <c r="B16" s="11" t="inlineStr">
        <is>
          <t>BC</t>
        </is>
      </c>
      <c r="C16" s="11" t="inlineStr">
        <is>
          <t>BC-8</t>
        </is>
      </c>
      <c r="D16" s="11" t="n">
        <v>3</v>
      </c>
      <c r="E16" s="11"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11" t="inlineStr">
        <is>
          <t>sin commitear</t>
        </is>
      </c>
      <c r="G16" s="11" t="inlineStr">
        <is>
          <t>No</t>
        </is>
      </c>
      <c r="H16" s="11" t="inlineStr">
        <is>
          <t>marcas de fichero 12:33-16:39 (total medido; reparto por app estimado)</t>
        </is>
      </c>
      <c r="J16" s="2" t="n"/>
      <c r="K16" s="2" t="n"/>
      <c r="L16" s="2" t="n"/>
      <c r="M16" s="2" t="n"/>
      <c r="N16" s="2" t="n"/>
      <c r="O16" s="2" t="n"/>
    </row>
    <row r="17">
      <c r="A17" s="6" t="n">
        <v>46273</v>
      </c>
      <c r="B17" s="11" t="inlineStr">
        <is>
          <t>AN</t>
        </is>
      </c>
      <c r="C17" s="11" t="inlineStr">
        <is>
          <t>AN-4</t>
        </is>
      </c>
      <c r="D17" s="11" t="n">
        <v>1.5</v>
      </c>
      <c r="E17" s="11"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11" t="inlineStr">
        <is>
          <t>sin commitear</t>
        </is>
      </c>
      <c r="G17" s="11" t="inlineStr">
        <is>
          <t>No</t>
        </is>
      </c>
      <c r="H17" s="11" t="inlineStr">
        <is>
          <t>marcas de fichero 12:33-16:53 (total medido; reparto por app estimado)</t>
        </is>
      </c>
      <c r="J17" s="2" t="n"/>
      <c r="K17" s="2" t="n"/>
      <c r="L17" s="2" t="n"/>
      <c r="M17" s="2" t="n"/>
      <c r="N17" s="2" t="n"/>
      <c r="O17" s="2" t="n"/>
    </row>
    <row r="18">
      <c r="A18" s="6" t="n">
        <v>46273</v>
      </c>
      <c r="B18" s="11" t="inlineStr">
        <is>
          <t>AN</t>
        </is>
      </c>
      <c r="C18" s="11" t="inlineStr">
        <is>
          <t>AN-4</t>
        </is>
      </c>
      <c r="D18" s="11" t="n">
        <v>0.5</v>
      </c>
      <c r="E18" s="11"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11" t="inlineStr">
        <is>
          <t>sin commitear</t>
        </is>
      </c>
      <c r="G18" s="11" t="inlineStr">
        <is>
          <t>No</t>
        </is>
      </c>
      <c r="H18" s="11" t="inlineStr">
        <is>
          <t>marcas de fichero 17:40-18:10</t>
        </is>
      </c>
      <c r="J18" s="2" t="n"/>
      <c r="K18" s="2" t="n"/>
      <c r="L18" s="2" t="n"/>
      <c r="M18" s="2" t="n"/>
      <c r="N18" s="2" t="n"/>
      <c r="O18" s="2" t="n"/>
    </row>
    <row r="19">
      <c r="A19" s="6" t="n">
        <v>46274</v>
      </c>
      <c r="B19" s="11" t="inlineStr">
        <is>
          <t>BC</t>
        </is>
      </c>
      <c r="C19" s="11" t="inlineStr">
        <is>
          <t>BC-8</t>
        </is>
      </c>
      <c r="D19" s="11" t="n">
        <v>1.5</v>
      </c>
      <c r="E19" s="11"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11" t="inlineStr">
        <is>
          <t>c000b50</t>
        </is>
      </c>
      <c r="G19" s="11" t="inlineStr">
        <is>
          <t>No</t>
        </is>
      </c>
      <c r="H19" s="11" t="inlineStr">
        <is>
          <t>marcas de fichero 08:41-12:21 (total medido; reparto por tarea estimado)</t>
        </is>
      </c>
      <c r="J19" s="2" t="n"/>
      <c r="K19" s="2" t="n"/>
      <c r="L19" s="2" t="n"/>
      <c r="M19" s="2" t="n"/>
      <c r="N19" s="2" t="n"/>
      <c r="O19" s="2" t="n"/>
    </row>
    <row r="20">
      <c r="A20" s="6" t="n">
        <v>46274</v>
      </c>
      <c r="B20" s="11" t="inlineStr">
        <is>
          <t>AN</t>
        </is>
      </c>
      <c r="C20" s="11" t="inlineStr">
        <is>
          <t>AN-4</t>
        </is>
      </c>
      <c r="D20" s="11" t="n">
        <v>1</v>
      </c>
      <c r="E20" s="11"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11" t="inlineStr">
        <is>
          <t>5492a2c</t>
        </is>
      </c>
      <c r="G20" s="11" t="inlineStr">
        <is>
          <t>No</t>
        </is>
      </c>
      <c r="H20" s="11" t="inlineStr">
        <is>
          <t>marcas de fichero 08:41-12:21 (total medido; reparto por tarea estimado)</t>
        </is>
      </c>
      <c r="J20" s="2" t="n"/>
      <c r="K20" s="2" t="n"/>
      <c r="L20" s="2" t="n"/>
      <c r="M20" s="2" t="n"/>
      <c r="N20" s="2" t="n"/>
      <c r="O20" s="2" t="n"/>
    </row>
    <row r="21" ht="15.75" customHeight="1" s="15">
      <c r="A21" s="6" t="n">
        <v>46274</v>
      </c>
      <c r="B21" s="11" t="inlineStr">
        <is>
          <t>AN</t>
        </is>
      </c>
      <c r="C21" s="11" t="inlineStr">
        <is>
          <t>AN-4</t>
        </is>
      </c>
      <c r="D21" s="11" t="n">
        <v>1</v>
      </c>
      <c r="E21" s="11"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11" t="inlineStr">
        <is>
          <t>5492a2c</t>
        </is>
      </c>
      <c r="G21" s="11" t="inlineStr">
        <is>
          <t>No</t>
        </is>
      </c>
      <c r="H21" s="11" t="inlineStr">
        <is>
          <t>marcas de fichero 08:41-12:21 (total medido; reparto por tarea estimado)</t>
        </is>
      </c>
      <c r="J21" s="2" t="n"/>
      <c r="K21" s="2" t="n"/>
      <c r="L21" s="2" t="n"/>
      <c r="M21" s="2" t="n"/>
      <c r="N21" s="2" t="n"/>
      <c r="O21" s="2" t="n"/>
    </row>
    <row r="22" ht="15.75" customHeight="1" s="15">
      <c r="A22" s="6" t="n">
        <v>46274</v>
      </c>
      <c r="B22" s="11" t="inlineStr">
        <is>
          <t>AN</t>
        </is>
      </c>
      <c r="C22" s="11" t="inlineStr">
        <is>
          <t>AN-5</t>
        </is>
      </c>
      <c r="D22" s="11" t="n">
        <v>0.5</v>
      </c>
      <c r="E22" s="11"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11" t="inlineStr">
        <is>
          <t>sin commitear</t>
        </is>
      </c>
      <c r="G22" s="11" t="inlineStr">
        <is>
          <t>No</t>
        </is>
      </c>
      <c r="H22" s="11" t="inlineStr">
        <is>
          <t>marcas de fichero 08:41-12:21 (total medido; reparto por tarea estimado)</t>
        </is>
      </c>
      <c r="J22" s="2" t="n"/>
      <c r="K22" s="2" t="n"/>
      <c r="L22" s="2" t="n"/>
      <c r="M22" s="2" t="n"/>
      <c r="N22" s="2" t="n"/>
      <c r="O22" s="2" t="n"/>
    </row>
    <row r="23" ht="15.75" customHeight="1" s="15">
      <c r="A23" s="6" t="n">
        <v>46274</v>
      </c>
      <c r="B23" s="11" t="inlineStr">
        <is>
          <t>BC</t>
        </is>
      </c>
      <c r="C23" s="11" t="n"/>
      <c r="D23" s="11" t="n">
        <v>1</v>
      </c>
      <c r="E23" s="11" t="inlineStr">
        <is>
          <t>Reunion</t>
        </is>
      </c>
      <c r="F23" s="11" t="n"/>
      <c r="G23" s="11" t="inlineStr">
        <is>
          <t>No</t>
        </is>
      </c>
      <c r="H23" s="11" t="inlineStr">
        <is>
          <t>indicado por el usuario</t>
        </is>
      </c>
      <c r="J23" s="2" t="n"/>
      <c r="K23" s="2" t="n"/>
      <c r="L23" s="2" t="n"/>
      <c r="M23" s="2" t="n"/>
      <c r="N23" s="2" t="n"/>
      <c r="O23" s="2" t="n"/>
    </row>
    <row r="24" ht="15.75" customHeight="1" s="15">
      <c r="A24" s="6" t="n">
        <v>46274</v>
      </c>
      <c r="B24" s="11" t="inlineStr">
        <is>
          <t>AN</t>
        </is>
      </c>
      <c r="C24" s="11" t="inlineStr">
        <is>
          <t>AN-7</t>
        </is>
      </c>
      <c r="D24" s="11" t="n">
        <v>3</v>
      </c>
      <c r="E24" s="11" t="inlineStr">
        <is>
          <t>Boveda, categorizacion en bruto: la evidencia que llega de un periferico (gafas, bodycam) entra SIN incidente y la coloca el agente despues. Tabla raw_evidence con su DAO y BD a v2, apartado PENDING CATEGORIZATION arriba de la boveda, y dialogo de categorizacion con clasificacion, incidente y etiqueta: el agente elige un incidente ya abierto o crea uno nuevo. Dos reglas de diseno: el incidente que se crea se fecha en la GRABACION y no en el momento de categorizar, y lo que no se categoriza se queda en bruto con su fecha, no se pierde ni se le inventa un incidente. SESION QUE FALTABA EN EL LIBRO, detectada el 13-sep.</t>
        </is>
      </c>
      <c r="F24" s="11" t="inlineStr">
        <is>
          <t>22768a9</t>
        </is>
      </c>
      <c r="G24" s="11" t="inlineStr">
        <is>
          <t>No</t>
        </is>
      </c>
      <c r="H24" s="11" t="inlineStr">
        <is>
          <t>marcas de fichero 13:13-15:57 (2,7 h medidas), redondeado al alza a 3 h</t>
        </is>
      </c>
      <c r="J24" s="2" t="n"/>
      <c r="K24" s="2" t="n"/>
      <c r="L24" s="2" t="n"/>
      <c r="M24" s="2" t="n"/>
      <c r="N24" s="2" t="n"/>
      <c r="O24" s="2" t="n"/>
    </row>
    <row r="25" ht="15.75" customHeight="1" s="15">
      <c r="A25" s="6" t="n">
        <v>46274</v>
      </c>
      <c r="B25" s="11" t="inlineStr">
        <is>
          <t>AN</t>
        </is>
      </c>
      <c r="C25" s="11" t="inlineStr">
        <is>
          <t>AN-5</t>
        </is>
      </c>
      <c r="D25" s="11" t="n">
        <v>1.5</v>
      </c>
      <c r="E25" s="11"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5" s="11" t="inlineStr">
        <is>
          <t>sin commitear</t>
        </is>
      </c>
      <c r="G25" s="11" t="inlineStr">
        <is>
          <t>No</t>
        </is>
      </c>
      <c r="H25" s="11" t="inlineStr">
        <is>
          <t>reloj de sesion 21:05-22:25</t>
        </is>
      </c>
      <c r="J25" s="2" t="n"/>
      <c r="K25" s="2" t="n"/>
      <c r="L25" s="2" t="n"/>
      <c r="M25" s="2" t="n"/>
      <c r="N25" s="2" t="n"/>
      <c r="O25" s="2" t="n"/>
    </row>
    <row r="26" ht="15.75" customHeight="1" s="15">
      <c r="A26" s="6" t="n">
        <v>46276</v>
      </c>
      <c r="B26" s="11" t="inlineStr">
        <is>
          <t>AN</t>
        </is>
      </c>
      <c r="C26" s="11" t="inlineStr">
        <is>
          <t>AN-6</t>
        </is>
      </c>
      <c r="D26" s="11" t="n">
        <v>2</v>
      </c>
      <c r="E26" s="11"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6" s="11" t="inlineStr">
        <is>
          <t>sin commitear</t>
        </is>
      </c>
      <c r="G26" s="11" t="inlineStr">
        <is>
          <t>No</t>
        </is>
      </c>
      <c r="H26" s="11" t="inlineStr">
        <is>
          <t>reloj de sesion 14:26-16:30 (2,1 h medidas), redondeado al alza a 3 h por indicacion del usuario; reparto por app estimado</t>
        </is>
      </c>
      <c r="J26" s="2" t="n"/>
      <c r="K26" s="2" t="n"/>
      <c r="L26" s="2" t="n"/>
      <c r="M26" s="2" t="n"/>
      <c r="N26" s="2" t="n"/>
      <c r="O26" s="2" t="n"/>
    </row>
    <row r="27" ht="15.75" customHeight="1" s="15">
      <c r="A27" s="6" t="n">
        <v>46276</v>
      </c>
      <c r="B27" s="11" t="inlineStr">
        <is>
          <t>BC</t>
        </is>
      </c>
      <c r="C27" s="11" t="inlineStr">
        <is>
          <t>BC-9</t>
        </is>
      </c>
      <c r="D27" s="11" t="n">
        <v>1.5</v>
      </c>
      <c r="E27" s="11"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7" s="11" t="inlineStr">
        <is>
          <t>sin commitear</t>
        </is>
      </c>
      <c r="G27" s="11" t="inlineStr">
        <is>
          <t>No</t>
        </is>
      </c>
      <c r="H27" s="11" t="inlineStr">
        <is>
          <t>reloj de sesion 14:26-16:30 (2,1 h medidas), redondeado al alza a 3 h por indicacion del usuario; reparto por app estimado</t>
        </is>
      </c>
      <c r="J27" s="2" t="n"/>
      <c r="K27" s="2" t="n"/>
      <c r="L27" s="2" t="n"/>
      <c r="M27" s="2" t="n"/>
      <c r="N27" s="2" t="n"/>
      <c r="O27" s="2" t="n"/>
    </row>
    <row r="28" ht="15.75" customHeight="1" s="15">
      <c r="A28" s="6" t="n">
        <v>46277</v>
      </c>
      <c r="B28" s="11" t="inlineStr">
        <is>
          <t>AN</t>
        </is>
      </c>
      <c r="C28" s="11" t="inlineStr">
        <is>
          <t>AN-5</t>
        </is>
      </c>
      <c r="D28" s="11" t="n">
        <v>3</v>
      </c>
      <c r="E28" s="11"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8" s="11" t="inlineStr">
        <is>
          <t>sin commitear</t>
        </is>
      </c>
      <c r="G28" s="11" t="inlineStr">
        <is>
          <t>No</t>
        </is>
      </c>
      <c r="H28" s="11" t="inlineStr">
        <is>
          <t>indicado por el usuario</t>
        </is>
      </c>
      <c r="J28" s="2" t="n"/>
      <c r="K28" s="2" t="n"/>
      <c r="L28" s="2" t="n"/>
      <c r="M28" s="2" t="n"/>
      <c r="N28" s="2" t="n"/>
      <c r="O28" s="2" t="n"/>
    </row>
    <row r="29" ht="15.75" customHeight="1" s="15">
      <c r="A29" s="6" t="n">
        <v>46278</v>
      </c>
      <c r="B29" s="11" t="inlineStr">
        <is>
          <t>AN</t>
        </is>
      </c>
      <c r="C29" s="11" t="inlineStr">
        <is>
          <t>AN-8</t>
        </is>
      </c>
      <c r="D29" s="11" t="n">
        <v>8.5</v>
      </c>
      <c r="E29" s="11" t="inlineStr">
        <is>
          <t>Rele de la bodycam a las FalconOne, de punta a punta, mas repaso de interfaz. El oficial pulsa grabar o el SOS en la camara del pecho y las gafas graban solas, sin tocar el telefono (peticion del manager). Canal BLE permanente con reintento, estado de grabacion honesto con los botones fisicos, notificacion de video pendiente, descarga completa por el WiFi de las gafas hasta la boveda cifrada, y aviso sonoro si un SOS se queda sin ellas. Antes, desmontado el AAR del fabricante para sacar el protocolo HTTP, que no estaba documentado. Verificado contra la W1 y las gafas: del boton al fichero cifrado en 14 s. Interfaz: todos los textos a ingles, barra superior unificada en todas las pantallas con el patron de Android (un solo Scaffold envolviendo el NavHost), mandos de perifericos movidos a los iconos de esa barra, PTT con el peso del boton de emergencia, ficha del oficial visible sin scroll en la pantalla de PIN y renombrado de las gafas a FalconOne. Repaso general: arreglados un fallo que reventaba la boveda al abrirla, nombres de fichero que se pisaban en descargas en lote, una excepcion de API 28 capturada con minSdk 26 que habria tumbado el alta en Android 8, y la descarga que se quedaba colgada en 'Retrieving' si caia el WiFi de las gafas. Anadido interruptor de compilacion para dejar el selector de estado de confianza en la APK de release de pruebas.</t>
        </is>
      </c>
      <c r="F29" s="11" t="inlineStr">
        <is>
          <t>347abb0, 8b9175b, 69c7530, f886beb, f33d11f</t>
        </is>
      </c>
      <c r="G29" s="11" t="inlineStr">
        <is>
          <t>No</t>
        </is>
      </c>
      <c r="H29" s="11" t="inlineStr">
        <is>
          <t>marcas de fichero 15:13-23:25 (8,2 h medidas), redondeado al alza a 8,5 h</t>
        </is>
      </c>
      <c r="J29" s="2" t="n"/>
      <c r="K29" s="2" t="n"/>
      <c r="L29" s="2" t="n"/>
      <c r="M29" s="2" t="n"/>
      <c r="N29" s="2" t="n"/>
      <c r="O29" s="2" t="n"/>
    </row>
    <row r="30" ht="15.75" customHeight="1" s="15">
      <c r="A30" s="6" t="n">
        <v>46279</v>
      </c>
      <c r="B30" s="11" t="inlineStr">
        <is>
          <t>AN</t>
        </is>
      </c>
      <c r="C30" s="11" t="inlineStr">
        <is>
          <t>AN-9</t>
        </is>
      </c>
      <c r="D30" s="11" t="n">
        <v>1.3</v>
      </c>
      <c r="E30" s="11" t="inlineStr">
        <is>
          <t>Enlace con la bodycam sin MAC compilada y uid propio por unidad (telefono). Busqueda Bluetooth y selector de bodycam desde la app, con la eleccion guardada: un APK ya sirve para cualquier W1. Cada bodycam se reconoce por rango de uid y la propia por el stream_uid del STATUS, lo que arregla que un telefono con su bodycam enlazada silenciara el SOS de la bodycam de otro agente. Estado de SOS y PTT por uid, visor por uid y prueba JVM del contrato de rangos. Analisis y requisitos del PTT hacia la bodycam. Verificado con W1 y Samsung.</t>
        </is>
      </c>
      <c r="F30" s="11" t="inlineStr">
        <is>
          <t>sin commitear</t>
        </is>
      </c>
      <c r="G30" s="11" t="inlineStr">
        <is>
          <t>No</t>
        </is>
      </c>
      <c r="H30" s="11" t="inlineStr">
        <is>
          <t>reloj de sesion 19:36-19:52 y 21:53-23:50 (2,2 h medidas, sin el hueco 19:52-21:34 del reinicio), redondeado al alza a 2,5 h; reparto por app y tarea estimado</t>
        </is>
      </c>
      <c r="J30" s="2" t="n"/>
      <c r="K30" s="2" t="n"/>
      <c r="L30" s="2" t="n"/>
      <c r="M30" s="2" t="n"/>
      <c r="N30" s="2" t="n"/>
      <c r="O30" s="2" t="n"/>
    </row>
    <row r="31" ht="15.75" customHeight="1" s="15">
      <c r="A31" s="6" t="n">
        <v>46279</v>
      </c>
      <c r="B31" s="11" t="inlineStr">
        <is>
          <t>BC</t>
        </is>
      </c>
      <c r="C31" s="11" t="inlineStr">
        <is>
          <t>BC-10</t>
        </is>
      </c>
      <c r="D31" s="11" t="n">
        <v>0.6</v>
      </c>
      <c r="E31" s="11" t="inlineStr">
        <is>
          <t>Visibilidad y uid propio (bodycam). La W1 se deja encontrar 5 min al arrancar (setScanMode oculto; el tiempo lo corta la propia app porque Android 9 no lo cumple), verificado tambien con la pantalla apagada. uid de Agora sacado de la identidad BWC (BWC-896E entra como 45182) en las entradas al canal, en el STATUS y en el aviso de SOS al backend, que ahora recibe bwc_id.</t>
        </is>
      </c>
      <c r="F31" s="11" t="inlineStr">
        <is>
          <t>sin commitear</t>
        </is>
      </c>
      <c r="G31" s="11" t="inlineStr">
        <is>
          <t>No</t>
        </is>
      </c>
      <c r="H31" s="11" t="inlineStr">
        <is>
          <t>reloj de sesion 19:36-19:52 y 21:53-23:50 (2,2 h medidas, sin el hueco 19:52-21:34 del reinicio), redondeado al alza a 2,5 h; reparto por app y tarea estimado</t>
        </is>
      </c>
      <c r="J31" s="2" t="n"/>
      <c r="K31" s="2" t="n"/>
      <c r="L31" s="2" t="n"/>
      <c r="M31" s="2" t="n"/>
      <c r="N31" s="2" t="n"/>
      <c r="O31" s="2" t="n"/>
    </row>
    <row r="32" ht="15.75" customHeight="1" s="15">
      <c r="A32" s="6" t="n">
        <v>46279</v>
      </c>
      <c r="B32" s="11" t="inlineStr">
        <is>
          <t>BC</t>
        </is>
      </c>
      <c r="C32" s="11" t="inlineStr">
        <is>
          <t>BC-8</t>
        </is>
      </c>
      <c r="D32" s="11" t="n">
        <v>0.6</v>
      </c>
      <c r="E32" s="11" t="inlineStr">
        <is>
          <t>Medicion del PTT hacia la bodycam: sonda de depuracion que escucha el canal sin capturar. Resultado: la grabacion conserva su audio y recoge la voz que sale por el altavoz; Agora no abre el microfono y el modo de audio sigue en normal. Se lanzo tambien la medicion de bateria, sin analizar.</t>
        </is>
      </c>
      <c r="F32" s="11" t="inlineStr">
        <is>
          <t>sin commitear</t>
        </is>
      </c>
      <c r="G32" s="11" t="inlineStr">
        <is>
          <t>No</t>
        </is>
      </c>
      <c r="H32" s="11" t="inlineStr">
        <is>
          <t>reloj de sesion 19:36-19:52 y 21:53-23:50 (2,2 h medidas, sin el hueco 19:52-21:34 del reinicio), redondeado al alza a 2,5 h; reparto por app y tarea estimado</t>
        </is>
      </c>
      <c r="J32" s="2" t="n"/>
      <c r="K32" s="2" t="n"/>
      <c r="L32" s="2" t="n"/>
      <c r="M32" s="2" t="n"/>
      <c r="N32" s="2" t="n"/>
      <c r="O32" s="2" t="n"/>
    </row>
    <row r="33" ht="15.75" customHeight="1" s="15">
      <c r="A33" s="6" t="n"/>
      <c r="B33" s="11" t="n"/>
      <c r="C33" s="11" t="n"/>
      <c r="D33" s="11" t="n"/>
      <c r="E33" s="11" t="n"/>
      <c r="F33" s="11" t="n"/>
      <c r="G33" s="11" t="n"/>
      <c r="H33" s="11" t="n"/>
      <c r="J33" s="2" t="n"/>
      <c r="K33" s="2" t="n"/>
      <c r="L33" s="2" t="n"/>
      <c r="M33" s="2" t="n"/>
      <c r="N33" s="2" t="n"/>
      <c r="O33" s="2" t="n"/>
    </row>
    <row r="34" ht="15.75" customHeight="1" s="15">
      <c r="A34" s="2" t="n"/>
      <c r="B34" s="2" t="n"/>
      <c r="C34" s="10" t="inlineStr">
        <is>
          <t>TOTAL HORAS</t>
        </is>
      </c>
      <c r="D34" s="10">
        <f>SUM($D$4:$D$33)</f>
        <v/>
      </c>
      <c r="E34" s="2" t="n"/>
      <c r="F34" s="2" t="n"/>
      <c r="G34" s="2" t="n"/>
      <c r="H34" s="2" t="n"/>
      <c r="J34" s="2" t="n"/>
      <c r="K34" s="2" t="n"/>
      <c r="L34" s="2" t="n"/>
      <c r="M34" s="2" t="n"/>
      <c r="N34" s="2" t="n"/>
      <c r="O34" s="2" t="n"/>
    </row>
    <row r="35" ht="15.75" customHeight="1" s="15">
      <c r="A35" s="2" t="n"/>
      <c r="B35" s="2" t="n"/>
      <c r="C35" s="2" t="n"/>
      <c r="D35" s="2" t="n"/>
      <c r="E35" s="2" t="n"/>
      <c r="F35" s="2" t="n"/>
      <c r="G35" s="2" t="n"/>
      <c r="H35" s="2" t="n"/>
      <c r="J35" s="2" t="n"/>
      <c r="K35" s="2" t="n"/>
      <c r="L35" s="2" t="n"/>
      <c r="M35" s="2" t="n"/>
      <c r="N35" s="2" t="n"/>
      <c r="O35" s="2" t="n"/>
    </row>
    <row r="36" ht="57.75" customHeight="1" s="15">
      <c r="A36" s="14"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   REGLA DE REDONDEO (desde el 13-sep, indicada por el usuario): las horas se redondean SIEMPRE AL ALZA al medio punto. 2,7 medidas se imputan como 3; 2,1 como 2,5; 2,5 se queda en 2,5. Las filas anteriores al 13-sep se dejan como estaban.   TARDE DEL 9 DE SEPTIEMBRE (anadida el 13-sep): AN-7 = boveda, categorizacion de evidencia en bruto de los perifericos. Esta sesion NO estaba en el libro: las cuatro filas de desarrollo del 9 salen de las marcas 08:41-12:21 y la de las gafas del reloj 21:05-22:25, y esta cae en medio. Las marcas de fichero la situan entre 13:13 y 15:57 (2,7 h medidas), redondeadas al alza a 3 h. Fue a parar al commit 22768a9, que arrastra tambien el trabajo del 11. Lineas: 476 anadidas medidas con git en los cuatro ficheros que son solo de esta sesion (RawEvidenceEntities, RawEvidenceRepository, CategorizeDialog e IncidentDao). Hay otras 325 en IncidentRepository, IncidentDatabase, VaultScreen y VaultViewModel que NO se suman aqui porque podrian estar ya contadas en las filas del 11.   13 DE SEPTIEMBRE: AN-8 = rele de la bodycam a las gafas FalconOne, mas repaso de interfaz. El oficial pulsa grabar o el SOS del pecho y las gafas graban solas; el telefono hace de puente porque las gafas solo entienden el SDK del fabricante, que corre en Android. Incluye canal BLE permanente, estado de grabacion honesto, aviso de video pendiente, descarga por WiFi hasta la boveda cifrada, aviso sonoro si un SOS se queda sin gafas, textos en ingles, barra superior unificada con el patron de Android, renombrado a FalconOne y arreglos de la revision (boveda que reventaba al abrirse, nombres de fichero que se pisaban, excepcion de API 28 con minSdk 26 y descarga colgada al caerse el WiFi). Verificado contra el hardware el mismo dia. Las horas salen de marcas de fichero 15:13-23:25 (8,2 h medidas) redondeadas al alza a 8,5 h segun la regla de redondeo; NO se cuenta el analisis inicial de esta propia tabla, que fue antes de la primera marca. Lineas del 13: 2.882 anadidas medidas con git sobre los cinco commits del dia; de ellas 527 son sondas de depuracion que NO van a release.   14 DE SEPTIEMBRE: AN-9 y BC-10 = enlace con la bodycam sin MAC compilada (seleccion desde la app y unidad visible 5 min al arrancar) y uid de Agora propio por bodycam. BC-8 (PTT) = medicion de la unidad escuchando el canal. Las horas salen del reloj de sesion 19:36-19:52 y 21:53-23:50 (2,2 h medidas), redondeadas al alza a 2,5 h; el reparto 1,3 AN / 0,6 + 0,6 BC es estimacion. NO se cuenta el hueco 19:52-21:34, en el que la sesion esperaba el resultado de una prueba en el Redmi y la maquina se reinicio. Lineas del 14, sin commitear, medidas con git: 638 en AN (44 de ellas de prueba JVM) y 291 en BC, de las cuales 180 son la sonda de depuracion que NO va a release.    RANGO DE FORMULAS: ampliado el 14-sep de la fila 29 a la 33; el total paso a la fila 34 y esta leyenda a la 36. La fila 33 es la ultima libre: para seguir hay que volver a ampliar.</t>
        </is>
      </c>
      <c r="J36" s="2" t="n"/>
      <c r="K36" s="2" t="n"/>
      <c r="L36" s="2" t="n"/>
      <c r="M36" s="2" t="n"/>
      <c r="N36" s="2" t="n"/>
      <c r="O36" s="2" t="n"/>
    </row>
    <row r="37" ht="15.75" customHeight="1" s="15">
      <c r="A37" s="2" t="n"/>
      <c r="B37" s="2" t="n"/>
      <c r="C37" s="2" t="n"/>
      <c r="D37" s="2" t="n"/>
      <c r="E37" s="2" t="n"/>
      <c r="F37" s="2" t="n"/>
      <c r="G37" s="2" t="n"/>
      <c r="H37" s="2" t="n"/>
      <c r="J37" s="2" t="n"/>
      <c r="K37" s="2" t="n"/>
      <c r="L37" s="2" t="n"/>
      <c r="M37" s="2" t="n"/>
      <c r="N37" s="2" t="n"/>
      <c r="O37" s="2" t="n"/>
    </row>
    <row r="38" ht="15.75" customHeight="1" s="15">
      <c r="A38" s="2" t="n"/>
      <c r="B38" s="2" t="n"/>
      <c r="C38" s="2" t="n"/>
      <c r="D38" s="2" t="n"/>
      <c r="E38" s="2" t="n"/>
      <c r="F38" s="2" t="n"/>
      <c r="G38" s="2" t="n"/>
      <c r="H38" s="2" t="n"/>
      <c r="J38" s="2" t="n"/>
      <c r="K38" s="2" t="n"/>
      <c r="L38" s="2" t="n"/>
      <c r="M38" s="2" t="n"/>
      <c r="N38" s="2" t="n"/>
      <c r="O38" s="2" t="n"/>
    </row>
    <row r="39" ht="15.75" customHeight="1" s="15">
      <c r="A39" s="2" t="n"/>
      <c r="B39" s="2" t="n"/>
      <c r="C39" s="2" t="n"/>
      <c r="D39" s="2" t="n"/>
      <c r="E39" s="2" t="n"/>
      <c r="F39" s="2" t="n"/>
      <c r="G39" s="2" t="n"/>
      <c r="H39" s="2" t="n"/>
      <c r="J39" s="2" t="n"/>
      <c r="K39" s="2" t="n"/>
      <c r="L39" s="2" t="n"/>
      <c r="M39" s="2" t="n"/>
      <c r="N39" s="2" t="n"/>
      <c r="O39" s="2" t="n"/>
    </row>
    <row r="40" ht="15.75" customHeight="1" s="15">
      <c r="A40" s="2" t="n"/>
      <c r="B40" s="2" t="n"/>
      <c r="C40" s="2" t="n"/>
      <c r="D40" s="2" t="n"/>
      <c r="E40" s="2" t="n"/>
      <c r="F40" s="2" t="n"/>
      <c r="G40" s="2" t="n"/>
      <c r="H40" s="2" t="n"/>
      <c r="J40" s="2" t="n"/>
      <c r="K40" s="2" t="n"/>
      <c r="L40" s="2" t="n"/>
      <c r="M40" s="2" t="n"/>
      <c r="N40" s="2" t="n"/>
      <c r="O40" s="2" t="n"/>
    </row>
    <row r="41" ht="15.75" customHeight="1" s="15">
      <c r="A41" s="2" t="n"/>
      <c r="B41" s="2" t="n"/>
      <c r="C41" s="2" t="n"/>
      <c r="D41" s="2" t="n"/>
      <c r="E41" s="2" t="n"/>
      <c r="F41" s="2" t="n"/>
      <c r="G41" s="2" t="n"/>
      <c r="H41" s="2" t="n"/>
      <c r="J41" s="2" t="n"/>
      <c r="K41" s="2" t="n"/>
      <c r="L41" s="2" t="n"/>
      <c r="M41" s="2" t="n"/>
      <c r="N41" s="2" t="n"/>
      <c r="O41" s="2" t="n"/>
    </row>
    <row r="42" ht="15.75" customHeight="1" s="15">
      <c r="A42" s="2" t="n"/>
      <c r="B42" s="2" t="n"/>
      <c r="C42" s="2" t="n"/>
      <c r="D42" s="2" t="n"/>
      <c r="E42" s="2" t="n"/>
      <c r="F42" s="2" t="n"/>
      <c r="G42" s="2" t="n"/>
      <c r="H42" s="2" t="n"/>
      <c r="J42" s="2" t="n"/>
      <c r="K42" s="2" t="n"/>
      <c r="L42" s="2" t="n"/>
      <c r="M42" s="2" t="n"/>
      <c r="N42" s="2" t="n"/>
      <c r="O42" s="2" t="n"/>
    </row>
    <row r="43" ht="15.75" customHeight="1" s="15">
      <c r="A43" s="2" t="n"/>
      <c r="B43" s="2" t="n"/>
      <c r="C43" s="2" t="n"/>
      <c r="D43" s="2" t="n"/>
      <c r="E43" s="2" t="n"/>
      <c r="F43" s="2" t="n"/>
      <c r="G43" s="2" t="n"/>
      <c r="H43" s="2" t="n"/>
      <c r="J43" s="2" t="n"/>
      <c r="K43" s="2" t="n"/>
      <c r="L43" s="2" t="n"/>
      <c r="M43" s="2" t="n"/>
      <c r="N43" s="2" t="n"/>
      <c r="O43" s="2" t="n"/>
    </row>
    <row r="44" ht="15.75" customHeight="1" s="15">
      <c r="A44" s="2" t="n"/>
      <c r="B44" s="2" t="n"/>
      <c r="C44" s="2" t="n"/>
      <c r="D44" s="2" t="n"/>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15.75" customHeight="1" s="15">
      <c r="A46" s="2" t="n"/>
      <c r="B46" s="2" t="n"/>
      <c r="C46" s="2" t="n"/>
      <c r="D46" s="2" t="n"/>
      <c r="E46" s="2" t="n"/>
      <c r="F46" s="2" t="n"/>
      <c r="G46" s="2" t="n"/>
      <c r="H46" s="2" t="n"/>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3">
    <mergeCell ref="A36:H36"/>
    <mergeCell ref="A2:H2"/>
    <mergeCell ref="A1:H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2026-09-14T21:47:07Z</dcterms:modified>
</cp:coreProperties>
</file>