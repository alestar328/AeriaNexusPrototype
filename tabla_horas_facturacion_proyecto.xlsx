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quot;€&quot;"/>
    <numFmt numFmtId="167" formatCode="#,##0.00 €"/>
  </numFmts>
  <fonts count="15">
    <font>
      <name val="Arial"/>
      <color rgb="FF000000"/>
      <sz val="10"/>
      <scheme val="minor"/>
    </font>
    <font>
      <name val="Calibri"/>
      <b val="1"/>
      <color rgb="FFFFFFFF"/>
      <sz val="16"/>
    </font>
    <font/>
    <font>
      <name val="Calibri"/>
      <i val="1"/>
      <color rgb="FF606060"/>
      <sz val="9"/>
    </font>
    <font>
      <name val="Calibri"/>
      <b val="1"/>
      <color rgb="FFFFFFFF"/>
    </font>
    <font>
      <name val="Calibri"/>
      <color theme="1"/>
      <sz val="11"/>
    </font>
    <font>
      <name val="Calibri"/>
      <b val="1"/>
      <color rgb="FF1F3864"/>
      <sz val="12"/>
    </font>
    <font>
      <name val="Consolas"/>
      <color theme="1"/>
    </font>
    <font>
      <name val="Calibri"/>
      <b val="1"/>
      <color theme="1"/>
    </font>
    <font>
      <name val="Calibri"/>
      <b val="1"/>
      <color theme="1"/>
      <sz val="11"/>
    </font>
    <font>
      <b val="1"/>
    </font>
    <font>
      <name val="Calibri"/>
      <i val="1"/>
      <sz val="9"/>
    </font>
    <font>
      <name val="Calibri"/>
      <b val="1"/>
      <color rgb="001F3864"/>
      <sz val="12"/>
    </font>
    <font>
      <name val="Calibri"/>
      <b val="1"/>
      <color rgb="00FFFFFF"/>
      <sz val="10"/>
    </font>
    <font>
      <name val="Calibri"/>
      <b val="1"/>
      <color rgb="001F3864"/>
      <sz val="11"/>
    </font>
  </fonts>
  <fills count="9">
    <fill>
      <patternFill/>
    </fill>
    <fill>
      <patternFill patternType="lightGray"/>
    </fill>
    <fill>
      <patternFill patternType="solid">
        <fgColor rgb="FF1F3864"/>
        <bgColor rgb="FF1F3864"/>
      </patternFill>
    </fill>
    <fill>
      <patternFill patternType="solid">
        <fgColor rgb="FF2E5C9A"/>
        <bgColor rgb="FF2E5C9A"/>
      </patternFill>
    </fill>
    <fill>
      <patternFill patternType="solid">
        <fgColor rgb="FFFFF9E6"/>
        <bgColor rgb="FFFFF9E6"/>
      </patternFill>
    </fill>
    <fill>
      <patternFill patternType="solid">
        <fgColor rgb="FFEDF1F7"/>
        <bgColor rgb="FFEDF1F7"/>
      </patternFill>
    </fill>
    <fill>
      <patternFill patternType="solid">
        <fgColor rgb="FFFFF2CC"/>
        <bgColor rgb="FFFFF2CC"/>
      </patternFill>
    </fill>
    <fill>
      <patternFill patternType="solid">
        <fgColor rgb="00FFF2CC"/>
      </patternFill>
    </fill>
    <fill>
      <patternFill patternType="solid">
        <fgColor rgb="001F3864"/>
      </patternFill>
    </fill>
  </fills>
  <borders count="10">
    <border/>
    <border>
      <left/>
      <top/>
      <bottom/>
    </border>
    <border>
      <top/>
      <bottom/>
    </border>
    <border>
      <right/>
      <top/>
      <bottom/>
    </border>
    <border>
      <left style="thin">
        <color rgb="FFB8C4D9"/>
      </left>
      <right style="thin">
        <color rgb="FFB8C4D9"/>
      </right>
      <top style="thin">
        <color rgb="FFB8C4D9"/>
      </top>
      <bottom style="thin">
        <color rgb="FFB8C4D9"/>
      </bottom>
    </border>
    <border>
      <left/>
      <right/>
      <top/>
      <bottom/>
    </border>
    <border>
      <top style="thin">
        <color rgb="FFB8C4D9"/>
      </top>
    </border>
    <border>
      <right style="thin">
        <color rgb="FFB8C4D9"/>
      </right>
      <top style="thin">
        <color rgb="FFB8C4D9"/>
      </top>
    </border>
    <border>
      <top style="thin">
        <color rgb="FFB8C4D9"/>
      </top>
      <bottom style="thin">
        <color rgb="FFB8C4D9"/>
      </bottom>
    </border>
    <border>
      <right style="thin">
        <color rgb="FFB8C4D9"/>
      </right>
      <top style="thin">
        <color rgb="FFB8C4D9"/>
      </top>
      <bottom style="thin">
        <color rgb="FFB8C4D9"/>
      </bottom>
    </border>
  </borders>
  <cellStyleXfs count="1">
    <xf numFmtId="0" fontId="0" fillId="0" borderId="0"/>
  </cellStyleXfs>
  <cellXfs count="64">
    <xf numFmtId="0" fontId="0" fillId="0" borderId="0" applyAlignment="1" pivotButton="0" quotePrefix="0" xfId="0">
      <alignment vertical="bottom"/>
    </xf>
    <xf numFmtId="0" fontId="1" fillId="2" borderId="1" pivotButton="0" quotePrefix="0" xfId="0"/>
    <xf numFmtId="0" fontId="2" fillId="0" borderId="2" pivotButton="0" quotePrefix="0" xfId="0"/>
    <xf numFmtId="0" fontId="2" fillId="0" borderId="3" pivotButton="0" quotePrefix="0" xfId="0"/>
    <xf numFmtId="0" fontId="3" fillId="0" borderId="0" applyAlignment="1" pivotButton="0" quotePrefix="0" xfId="0">
      <alignment vertical="bottom"/>
    </xf>
    <xf numFmtId="0" fontId="4" fillId="3" borderId="4" applyAlignment="1" pivotButton="0" quotePrefix="0" xfId="0">
      <alignment horizontal="center"/>
    </xf>
    <xf numFmtId="0" fontId="5" fillId="0" borderId="0" applyAlignment="1" pivotButton="0" quotePrefix="0" xfId="0">
      <alignment vertical="bottom"/>
    </xf>
    <xf numFmtId="0" fontId="6" fillId="0" borderId="0" applyAlignment="1" pivotButton="0" quotePrefix="0" xfId="0">
      <alignment vertical="bottom"/>
    </xf>
    <xf numFmtId="164" fontId="5" fillId="0" borderId="4" applyAlignment="1" pivotButton="0" quotePrefix="0" xfId="0">
      <alignment horizontal="center"/>
    </xf>
    <xf numFmtId="0" fontId="5" fillId="0" borderId="4" applyAlignment="1" pivotButton="0" quotePrefix="0" xfId="0">
      <alignment horizontal="center"/>
    </xf>
    <xf numFmtId="165" fontId="5" fillId="4" borderId="4" applyAlignment="1" pivotButton="0" quotePrefix="0" xfId="0">
      <alignment horizontal="center"/>
    </xf>
    <xf numFmtId="0" fontId="5" fillId="0" borderId="4" applyAlignment="1" pivotButton="0" quotePrefix="0" xfId="0">
      <alignment wrapText="1"/>
    </xf>
    <xf numFmtId="0" fontId="7" fillId="0" borderId="4" applyAlignment="1" pivotButton="0" quotePrefix="0" xfId="0">
      <alignment horizontal="center"/>
    </xf>
    <xf numFmtId="0" fontId="5" fillId="0" borderId="4" applyAlignment="1" pivotButton="0" quotePrefix="0" xfId="0">
      <alignment vertical="bottom"/>
    </xf>
    <xf numFmtId="0" fontId="8" fillId="0" borderId="4" applyAlignment="1" pivotButton="0" quotePrefix="0" xfId="0">
      <alignment vertical="bottom"/>
    </xf>
    <xf numFmtId="3" fontId="5" fillId="0" borderId="4" applyAlignment="1" pivotButton="0" quotePrefix="0" xfId="0">
      <alignment horizontal="right"/>
    </xf>
    <xf numFmtId="165" fontId="5" fillId="0" borderId="4" applyAlignment="1" pivotButton="0" quotePrefix="0" xfId="0">
      <alignment horizontal="center"/>
    </xf>
    <xf numFmtId="166" fontId="5" fillId="0" borderId="4" applyAlignment="1" pivotButton="0" quotePrefix="0" xfId="0">
      <alignment horizontal="right"/>
    </xf>
    <xf numFmtId="0" fontId="5" fillId="0" borderId="4" pivotButton="0" quotePrefix="0" xfId="0"/>
    <xf numFmtId="0" fontId="8" fillId="5" borderId="4" applyAlignment="1" pivotButton="0" quotePrefix="0" xfId="0">
      <alignment vertical="bottom"/>
    </xf>
    <xf numFmtId="0" fontId="5" fillId="5" borderId="4" applyAlignment="1" pivotButton="0" quotePrefix="0" xfId="0">
      <alignment horizontal="center"/>
    </xf>
    <xf numFmtId="3" fontId="5" fillId="5" borderId="4" applyAlignment="1" pivotButton="0" quotePrefix="0" xfId="0">
      <alignment horizontal="right"/>
    </xf>
    <xf numFmtId="165" fontId="5" fillId="5" borderId="4" applyAlignment="1" pivotButton="0" quotePrefix="0" xfId="0">
      <alignment horizontal="center"/>
    </xf>
    <xf numFmtId="166" fontId="5" fillId="5" borderId="4" applyAlignment="1" pivotButton="0" quotePrefix="0" xfId="0">
      <alignment horizontal="right"/>
    </xf>
    <xf numFmtId="0" fontId="9" fillId="6" borderId="4" applyAlignment="1" pivotButton="0" quotePrefix="0" xfId="0">
      <alignment vertical="bottom"/>
    </xf>
    <xf numFmtId="0" fontId="9" fillId="6" borderId="4" applyAlignment="1" pivotButton="0" quotePrefix="0" xfId="0">
      <alignment horizontal="center"/>
    </xf>
    <xf numFmtId="3" fontId="9" fillId="6" borderId="4" applyAlignment="1" pivotButton="0" quotePrefix="0" xfId="0">
      <alignment horizontal="right"/>
    </xf>
    <xf numFmtId="165" fontId="9" fillId="6" borderId="4" applyAlignment="1" pivotButton="0" quotePrefix="0" xfId="0">
      <alignment horizontal="center"/>
    </xf>
    <xf numFmtId="166" fontId="9" fillId="6" borderId="4" applyAlignment="1" pivotButton="0" quotePrefix="0" xfId="0">
      <alignment horizontal="right"/>
    </xf>
    <xf numFmtId="164" fontId="5" fillId="5" borderId="4" applyAlignment="1" pivotButton="0" quotePrefix="0" xfId="0">
      <alignment horizontal="center"/>
    </xf>
    <xf numFmtId="0" fontId="5" fillId="5" borderId="4" applyAlignment="1" pivotButton="0" quotePrefix="0" xfId="0">
      <alignment wrapText="1"/>
    </xf>
    <xf numFmtId="0" fontId="7" fillId="5" borderId="4" applyAlignment="1" pivotButton="0" quotePrefix="0" xfId="0">
      <alignment horizontal="center"/>
    </xf>
    <xf numFmtId="0" fontId="5" fillId="5" borderId="4" applyAlignment="1" pivotButton="0" quotePrefix="0" xfId="0">
      <alignment vertical="bottom"/>
    </xf>
    <xf numFmtId="0" fontId="5" fillId="5" borderId="4" pivotButton="0" quotePrefix="0" xfId="0"/>
    <xf numFmtId="164" fontId="5" fillId="5" borderId="4" pivotButton="0" quotePrefix="0" xfId="0"/>
    <xf numFmtId="165" fontId="5" fillId="4" borderId="4" pivotButton="0" quotePrefix="0" xfId="0"/>
    <xf numFmtId="164" fontId="5" fillId="0" borderId="4" pivotButton="0" quotePrefix="0" xfId="0"/>
    <xf numFmtId="0" fontId="9" fillId="0" borderId="0" applyAlignment="1" pivotButton="0" quotePrefix="0" xfId="0">
      <alignment horizontal="right"/>
    </xf>
    <xf numFmtId="0" fontId="0" fillId="0" borderId="0" pivotButton="0" quotePrefix="0" xfId="0"/>
    <xf numFmtId="0" fontId="1" fillId="2" borderId="5" pivotButton="0" quotePrefix="0" xfId="0"/>
    <xf numFmtId="1" fontId="5" fillId="0" borderId="4" applyAlignment="1" pivotButton="0" quotePrefix="0" xfId="0">
      <alignment horizontal="center"/>
    </xf>
    <xf numFmtId="1" fontId="5" fillId="5" borderId="4" applyAlignment="1" pivotButton="0" quotePrefix="0" xfId="0">
      <alignment horizontal="center"/>
    </xf>
    <xf numFmtId="1" fontId="9" fillId="6" borderId="4" applyAlignment="1" pivotButton="0" quotePrefix="0" xfId="0">
      <alignment horizontal="center"/>
    </xf>
    <xf numFmtId="0" fontId="10" fillId="0" borderId="0" pivotButton="0" quotePrefix="0" xfId="0"/>
    <xf numFmtId="166" fontId="10" fillId="0" borderId="0" pivotButton="0" quotePrefix="0" xfId="0"/>
    <xf numFmtId="0" fontId="5" fillId="5" borderId="4" applyAlignment="1" pivotButton="0" quotePrefix="0" xfId="0">
      <alignment vertical="top"/>
    </xf>
    <xf numFmtId="165" fontId="5" fillId="4" borderId="4" applyAlignment="1" pivotButton="0" quotePrefix="0" xfId="0">
      <alignment vertical="top"/>
    </xf>
    <xf numFmtId="0" fontId="5" fillId="5" borderId="4" applyAlignment="1" pivotButton="0" quotePrefix="0" xfId="0">
      <alignment vertical="top" wrapText="1"/>
    </xf>
    <xf numFmtId="0" fontId="5" fillId="0" borderId="4" applyAlignment="1" pivotButton="0" quotePrefix="0" xfId="0">
      <alignment vertical="top"/>
    </xf>
    <xf numFmtId="0" fontId="5" fillId="0" borderId="4" applyAlignment="1" pivotButton="0" quotePrefix="0" xfId="0">
      <alignment vertical="top" wrapText="1"/>
    </xf>
    <xf numFmtId="164" fontId="11" fillId="7" borderId="4" applyAlignment="1" pivotButton="0" quotePrefix="0" xfId="0">
      <alignment vertical="top" wrapText="1"/>
    </xf>
    <xf numFmtId="0" fontId="0" fillId="0" borderId="8" pivotButton="0" quotePrefix="0" xfId="0"/>
    <xf numFmtId="0" fontId="0" fillId="0" borderId="9" pivotButton="0" quotePrefix="0" xfId="0"/>
    <xf numFmtId="0" fontId="12" fillId="0" borderId="0" pivotButton="0" quotePrefix="0" xfId="0"/>
    <xf numFmtId="0" fontId="11" fillId="0" borderId="0" applyAlignment="1" pivotButton="0" quotePrefix="0" xfId="0">
      <alignment vertical="top" wrapText="1"/>
    </xf>
    <xf numFmtId="0" fontId="13" fillId="8" borderId="0" applyAlignment="1" pivotButton="0" quotePrefix="0" xfId="0">
      <alignment horizontal="center" vertical="center" wrapText="1"/>
    </xf>
    <xf numFmtId="0" fontId="14" fillId="0" borderId="0" pivotButton="0" quotePrefix="0" xfId="0"/>
    <xf numFmtId="164" fontId="0" fillId="0" borderId="0" applyAlignment="1" pivotButton="0" quotePrefix="0" xfId="0">
      <alignment vertical="top" wrapText="1"/>
    </xf>
    <xf numFmtId="0" fontId="0" fillId="0" borderId="0" applyAlignment="1" pivotButton="0" quotePrefix="0" xfId="0">
      <alignment vertical="top" wrapText="1"/>
    </xf>
    <xf numFmtId="167" fontId="0" fillId="0" borderId="0" pivotButton="0" quotePrefix="0" xfId="0"/>
    <xf numFmtId="167" fontId="10" fillId="0" borderId="0" pivotButton="0" quotePrefix="0" xfId="0"/>
    <xf numFmtId="0" fontId="11" fillId="7" borderId="0" applyAlignment="1" pivotButton="0" quotePrefix="0" xfId="0">
      <alignment vertical="top" wrapText="1"/>
    </xf>
    <xf numFmtId="167" fontId="0" fillId="0" borderId="0" pivotButton="0" quotePrefix="0" xfId="0"/>
    <xf numFmtId="167" fontId="1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42"/>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agosto 2026</t>
        </is>
      </c>
    </row>
    <row r="4">
      <c r="A4" s="57" t="n">
        <v>46243</v>
      </c>
      <c r="B4" s="58" t="inlineStr">
        <is>
          <t>BC</t>
        </is>
      </c>
      <c r="C4" s="58" t="inlineStr">
        <is>
          <t>BC-1</t>
        </is>
      </c>
      <c r="D4" s="58" t="n">
        <v>6</v>
      </c>
      <c r="E4" s="58" t="inlineStr">
        <is>
          <t>Grabación continua: EvidenceStore (buffer en anillo, pre-roll 120 s, segmentos 8 MB), reescritura de RecordingActivity, retirada de CameraController</t>
        </is>
      </c>
      <c r="F4" s="58" t="inlineStr">
        <is>
          <t>d4a4709</t>
        </is>
      </c>
      <c r="G4" s="58" t="inlineStr">
        <is>
          <t>No</t>
        </is>
      </c>
      <c r="H4" s="58" t="n"/>
      <c r="J4" s="55" t="inlineStr">
        <is>
          <t>Aplicación</t>
        </is>
      </c>
      <c r="K4" s="55" t="inlineStr">
        <is>
          <t>Bloques</t>
        </is>
      </c>
      <c r="L4" s="55" t="inlineStr">
        <is>
          <t>Días activ.</t>
        </is>
      </c>
      <c r="M4" s="55" t="inlineStr">
        <is>
          <t>Líneas código</t>
        </is>
      </c>
      <c r="N4" s="55" t="inlineStr">
        <is>
          <t>Horas</t>
        </is>
      </c>
      <c r="O4" s="55" t="inlineStr">
        <is>
          <t>Importe</t>
        </is>
      </c>
    </row>
    <row r="5">
      <c r="A5" s="57" t="n">
        <v>46248</v>
      </c>
      <c r="B5" s="58" t="inlineStr">
        <is>
          <t>BC</t>
        </is>
      </c>
      <c r="C5" s="58" t="inlineStr">
        <is>
          <t>BC-2</t>
        </is>
      </c>
      <c r="D5" s="58" t="n">
        <v>6</v>
      </c>
      <c r="E5" s="58" t="inlineStr">
        <is>
          <t>Cifrado (medicion): CryptoBenchmark (SHA-256 + AES-256-GCM por bloques), RecorderWatch (watchdog de grabaciones largas), endpoint /benchmark, fix de path traversal, 2 scripts Python, testing con videos reales</t>
        </is>
      </c>
      <c r="F5" s="58" t="inlineStr">
        <is>
          <t>sin commitear</t>
        </is>
      </c>
      <c r="G5" s="58" t="inlineStr">
        <is>
          <t>No</t>
        </is>
      </c>
      <c r="H5" s="58" t="n"/>
      <c r="J5" s="0" t="inlineStr">
        <is>
          <t>BodyCamServer</t>
        </is>
      </c>
      <c r="K5" s="58" t="inlineStr">
        <is>
          <t>BC-1, BC-2, BC-3, BC-4, BC-5, BC-6</t>
        </is>
      </c>
      <c r="L5" s="0">
        <f>SUMPRODUCT(($B$4:$B$40="BC")/COUNTIFS($A$4:$A$40,$A$4:$A$40&amp;"",$B$4:$B$40,$B$4:$B$40&amp;""))</f>
        <v/>
      </c>
      <c r="M5" s="0" t="n">
        <v>6860</v>
      </c>
      <c r="N5" s="0">
        <f>SUMIFS($D$4:$D$40,$B$4:$B$40,"BC",$G$4:$G$40,"&lt;&gt;Sí")</f>
        <v/>
      </c>
      <c r="O5" s="62">
        <f>N5*$K$9</f>
        <v/>
      </c>
    </row>
    <row r="6">
      <c r="A6" s="57" t="n">
        <v>46249</v>
      </c>
      <c r="B6" s="58" t="inlineStr">
        <is>
          <t>BC</t>
        </is>
      </c>
      <c r="C6" s="58" t="n"/>
      <c r="D6" s="58" t="n">
        <v>0</v>
      </c>
      <c r="E6" s="58" t="inlineStr">
        <is>
          <t>Alta del sistema de seguimiento de horas (cubre las dos apps)</t>
        </is>
      </c>
      <c r="F6" s="58" t="inlineStr">
        <is>
          <t>pendiente</t>
        </is>
      </c>
      <c r="G6" s="58" t="inlineStr">
        <is>
          <t>No</t>
        </is>
      </c>
      <c r="H6" s="58" t="n"/>
      <c r="J6" s="0" t="inlineStr">
        <is>
          <t>AeriaNexusPrototype</t>
        </is>
      </c>
      <c r="K6" s="58" t="inlineStr">
        <is>
          <t>AN-1</t>
        </is>
      </c>
      <c r="L6" s="0">
        <f>SUMPRODUCT(($B$4:$B$40="AN")/COUNTIFS($A$4:$A$40,$A$4:$A$40&amp;"",$B$4:$B$40,$B$4:$B$40&amp;""))</f>
        <v/>
      </c>
      <c r="M6" s="0" t="n">
        <v>799</v>
      </c>
      <c r="N6" s="0">
        <f>SUMIFS($D$4:$D$40,$B$4:$B$40,"AN",$G$4:$G$40,"&lt;&gt;Sí")</f>
        <v/>
      </c>
      <c r="O6" s="62">
        <f>N6*$K$9</f>
        <v/>
      </c>
    </row>
    <row r="7">
      <c r="A7" s="57" t="n">
        <v>46249</v>
      </c>
      <c r="B7" s="58" t="inlineStr">
        <is>
          <t>BC</t>
        </is>
      </c>
      <c r="C7" s="58" t="inlineStr">
        <is>
          <t>BC-3</t>
        </is>
      </c>
      <c r="D7" s="58" t="n">
        <v>1.5</v>
      </c>
      <c r="E7" s="58" t="inlineStr">
        <is>
          <t>Pantalla en reposo al grabar + cronometro en RecordingActivity. Compilado y desplegado en la unidad</t>
        </is>
      </c>
      <c r="F7" s="58" t="inlineStr">
        <is>
          <t>sin commitear</t>
        </is>
      </c>
      <c r="G7" s="58" t="inlineStr">
        <is>
          <t>No</t>
        </is>
      </c>
      <c r="H7" s="58" t="n"/>
      <c r="J7" s="43" t="inlineStr">
        <is>
          <t>TOTAL DEL MES</t>
        </is>
      </c>
      <c r="K7" s="0">
        <f>SUMPRODUCT(($C$4:$C$40&lt;&gt;"")/COUNTIF($C$4:$C$40,$C$4:$C$40&amp;""))</f>
        <v/>
      </c>
      <c r="L7" s="0">
        <f>SUMPRODUCT(($A$4:$A$40&lt;&gt;"")/COUNTIF($A$4:$A$40,$A$4:$A$40&amp;""))</f>
        <v/>
      </c>
      <c r="M7" s="43">
        <f>SUM(M5:M6)</f>
        <v/>
      </c>
      <c r="N7" s="43">
        <f>SUM(N5:N6)</f>
        <v/>
      </c>
      <c r="O7" s="63">
        <f>SUM(O5:O6)</f>
        <v/>
      </c>
    </row>
    <row r="8">
      <c r="A8" s="57" t="n">
        <v>46249</v>
      </c>
      <c r="B8" s="58" t="inlineStr">
        <is>
          <t>BC</t>
        </is>
      </c>
      <c r="C8" s="58" t="inlineStr">
        <is>
          <t>BC-2</t>
        </is>
      </c>
      <c r="D8" s="58" t="n">
        <v>3</v>
      </c>
      <c r="E8" s="58" t="inlineStr">
        <is>
          <t>Cifrado (medicion): CryptoBenchmark (SHA-256 + AES-256-GCM por bloques) CONTINUACION</t>
        </is>
      </c>
      <c r="F8" s="58" t="inlineStr">
        <is>
          <t>sin commitear</t>
        </is>
      </c>
      <c r="G8" s="58" t="inlineStr">
        <is>
          <t>No</t>
        </is>
      </c>
      <c r="H8" s="58" t="n"/>
    </row>
    <row r="9">
      <c r="A9" s="57" t="n">
        <v>46250</v>
      </c>
      <c r="B9" s="58" t="inlineStr">
        <is>
          <t>BC</t>
        </is>
      </c>
      <c r="C9" s="58" t="inlineStr">
        <is>
          <t>BC-1</t>
        </is>
      </c>
      <c r="D9" s="58" t="n">
        <v>2</v>
      </c>
      <c r="E9" s="58" t="inlineStr">
        <is>
          <t>Funcionalidad Subir a servidor yes/no, visualizacion de tiempo de grabacion</t>
        </is>
      </c>
      <c r="F9" s="58" t="inlineStr">
        <is>
          <t>sin commitear</t>
        </is>
      </c>
      <c r="G9" s="58" t="inlineStr">
        <is>
          <t>No</t>
        </is>
      </c>
      <c r="H9" s="58" t="n"/>
      <c r="J9" s="43" t="inlineStr">
        <is>
          <t>Tarifa (€/h)</t>
        </is>
      </c>
      <c r="K9" s="0" t="n">
        <v>20</v>
      </c>
    </row>
    <row r="10">
      <c r="A10" s="57" t="n">
        <v>46250</v>
      </c>
      <c r="B10" s="58" t="inlineStr">
        <is>
          <t>BC</t>
        </is>
      </c>
      <c r="C10" s="58" t="n"/>
      <c r="D10" s="58" t="n">
        <v>3</v>
      </c>
      <c r="E10" s="58" t="inlineStr">
        <is>
          <t>Reuniones semana del 17 agosto al 28</t>
        </is>
      </c>
      <c r="F10" s="58" t="n"/>
      <c r="G10" s="58" t="inlineStr">
        <is>
          <t>No</t>
        </is>
      </c>
      <c r="H10" s="58" t="n"/>
    </row>
    <row r="11">
      <c r="A11" s="57" t="n">
        <v>46257</v>
      </c>
      <c r="B11" s="58" t="inlineStr">
        <is>
          <t>BC</t>
        </is>
      </c>
      <c r="C11" s="58" t="n"/>
      <c r="D11" s="58" t="n">
        <v>0.5</v>
      </c>
      <c r="E11" s="58" t="inlineStr">
        <is>
          <t>Analisis del Security Feature List (34 features: 15 viables sin backend, 12 parciales, 7 bloqueadas), ruta de desarrollo hasta fin de septiembre y actualizacion del seguimiento</t>
        </is>
      </c>
      <c r="F11" s="58" t="inlineStr">
        <is>
          <t>db04e55</t>
        </is>
      </c>
      <c r="G11" s="58" t="inlineStr">
        <is>
          <t>No</t>
        </is>
      </c>
      <c r="H11" s="58" t="n"/>
    </row>
    <row r="12">
      <c r="A12" s="57" t="n">
        <v>46257</v>
      </c>
      <c r="B12" s="58" t="inlineStr">
        <is>
          <t>BC</t>
        </is>
      </c>
      <c r="C12" s="58" t="inlineStr">
        <is>
          <t>BC-4</t>
        </is>
      </c>
      <c r="D12" s="58" t="n">
        <v>2</v>
      </c>
      <c r="E12" s="58"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58" t="inlineStr">
        <is>
          <t>db04e55, a599da9</t>
        </is>
      </c>
      <c r="G12" s="58" t="inlineStr">
        <is>
          <t>No</t>
        </is>
      </c>
      <c r="H12" s="58" t="n"/>
    </row>
    <row r="13">
      <c r="A13" s="57" t="n">
        <v>46257</v>
      </c>
      <c r="B13" s="58" t="inlineStr">
        <is>
          <t>BC</t>
        </is>
      </c>
      <c r="C13" s="58" t="inlineStr">
        <is>
          <t>BC-1</t>
        </is>
      </c>
      <c r="D13" s="58" t="n">
        <v>1</v>
      </c>
      <c r="E13" s="58"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58" t="inlineStr">
        <is>
          <t>06008b2, 56d5478, 99b42a6, f2e7e52</t>
        </is>
      </c>
      <c r="G13" s="58" t="inlineStr">
        <is>
          <t>No</t>
        </is>
      </c>
      <c r="H13" s="58" t="n"/>
    </row>
    <row r="14">
      <c r="A14" s="57" t="n">
        <v>46257</v>
      </c>
      <c r="B14" s="58" t="inlineStr">
        <is>
          <t>BC</t>
        </is>
      </c>
      <c r="C14" s="58" t="inlineStr">
        <is>
          <t>BC-1</t>
        </is>
      </c>
      <c r="D14" s="58" t="n">
        <v>2</v>
      </c>
      <c r="E14" s="58"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58" t="inlineStr">
        <is>
          <t>671cab7, 48892dd, b00332f, 4373116, a25c0c7</t>
        </is>
      </c>
      <c r="G14" s="58" t="inlineStr">
        <is>
          <t>No</t>
        </is>
      </c>
      <c r="H14" s="58" t="n"/>
    </row>
    <row r="15">
      <c r="A15" s="57" t="n">
        <v>46259</v>
      </c>
      <c r="B15" s="58" t="inlineStr">
        <is>
          <t>BC</t>
        </is>
      </c>
      <c r="C15" s="58" t="inlineStr">
        <is>
          <t>BC-5</t>
        </is>
      </c>
      <c r="D15" s="58" t="n">
        <v>3</v>
      </c>
      <c r="E15" s="58"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58" t="inlineStr">
        <is>
          <t>81f0995</t>
        </is>
      </c>
      <c r="G15" s="58" t="inlineStr">
        <is>
          <t>No</t>
        </is>
      </c>
      <c r="H15" s="58" t="n"/>
    </row>
    <row r="16">
      <c r="A16" s="57" t="n">
        <v>46259</v>
      </c>
      <c r="B16" s="58" t="inlineStr">
        <is>
          <t>AN</t>
        </is>
      </c>
      <c r="C16" s="58" t="inlineStr">
        <is>
          <t>AN-1</t>
        </is>
      </c>
      <c r="D16" s="58" t="n">
        <v>3</v>
      </c>
      <c r="E16" s="58"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58" t="inlineStr">
        <is>
          <t>sin commitear</t>
        </is>
      </c>
      <c r="G16" s="58" t="inlineStr">
        <is>
          <t>No</t>
        </is>
      </c>
      <c r="H16" s="58" t="n"/>
    </row>
    <row r="17">
      <c r="A17" s="57" t="n">
        <v>46260</v>
      </c>
      <c r="B17" s="58" t="inlineStr">
        <is>
          <t>BC</t>
        </is>
      </c>
      <c r="C17" s="58" t="inlineStr">
        <is>
          <t>BC-6</t>
        </is>
      </c>
      <c r="D17" s="58" t="n">
        <v>4</v>
      </c>
      <c r="E17" s="58"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58" t="n"/>
      <c r="G17" s="58" t="n"/>
      <c r="H17" s="58" t="n"/>
    </row>
    <row r="18">
      <c r="A18" s="57" t="n">
        <v>46260</v>
      </c>
      <c r="B18" s="58" t="inlineStr">
        <is>
          <t>AN</t>
        </is>
      </c>
      <c r="C18" s="58" t="inlineStr">
        <is>
          <t>AN-1</t>
        </is>
      </c>
      <c r="D18" s="58" t="n">
        <v>3</v>
      </c>
      <c r="E18" s="58" t="inlineStr">
        <is>
          <t>Destinatario srv: del teléfono alineado con el de la unidad, y validado en hardware: cifra para los dos, el servidor lo abre, el hash de Room es el real</t>
        </is>
      </c>
      <c r="F18" s="58" t="n"/>
      <c r="G18" s="58" t="n"/>
      <c r="H18" s="58" t="n"/>
    </row>
    <row r="19">
      <c r="A19" s="57" t="n">
        <v>46260</v>
      </c>
      <c r="B19" s="58" t="inlineStr">
        <is>
          <t>AN</t>
        </is>
      </c>
      <c r="C19" s="58" t="inlineStr">
        <is>
          <t>AN-1</t>
        </is>
      </c>
      <c r="D19" s="58" t="n">
        <v>2</v>
      </c>
      <c r="E19" s="58" t="inlineStr">
        <is>
          <t>Subida por bloques portada al teléfono: data/upload/ completo, enganche en foto, vídeo y audio, reconciliación del estado  de sincronización. Validado: vídeo de 68 MB con corte y reanudación, más dos ficheros retomados solos al arrancar</t>
        </is>
      </c>
      <c r="F19" s="58" t="n"/>
      <c r="G19" s="58" t="n"/>
      <c r="H19" s="58" t="n"/>
    </row>
    <row r="20">
      <c r="A20" s="57" t="n">
        <v>46261</v>
      </c>
      <c r="B20" s="58" t="inlineStr">
        <is>
          <t>BC</t>
        </is>
      </c>
      <c r="C20" s="58" t="inlineStr">
        <is>
          <t>BC-1</t>
        </is>
      </c>
      <c r="D20" s="58" t="n">
        <v>1</v>
      </c>
      <c r="E20" s="58" t="inlineStr">
        <is>
          <t>Inventario de entrega a backend: revisión del contrato de subida, formato de cifrado y manifest.
Detectados 4 huecos (esquema del manifest.json sin documentar, falta juego de muestra, endpoint HTTPS + CA, rechazo
de kid dev-*)</t>
        </is>
      </c>
      <c r="F20" s="58" t="n"/>
      <c r="G20" s="58" t="n"/>
      <c r="H20" s="58" t="n"/>
    </row>
    <row r="21">
      <c r="A21" s="57" t="n">
        <v>46261</v>
      </c>
      <c r="B21" s="58" t="inlineStr">
        <is>
          <t>BC</t>
        </is>
      </c>
      <c r="C21" s="58" t="inlineStr">
        <is>
          <t>BC-1</t>
        </is>
      </c>
      <c r="D21" s="58" t="n">
        <v>1</v>
      </c>
      <c r="E21" s="58" t="inlineStr">
        <is>
          <t xml:space="preserve"> Firma de release: keystore único de proyecto (PKCS12, RSA 4096), signingConfig vía local.properties,
versión 1.2→1.3 (code 4), APK firmado y verificado (v2)</t>
        </is>
      </c>
      <c r="F21" s="58" t="n"/>
      <c r="G21" s="58" t="n"/>
      <c r="H21" s="58" t="n"/>
    </row>
    <row r="22">
      <c r="A22" s="57" t="n">
        <v>46261</v>
      </c>
      <c r="B22" s="58" t="inlineStr">
        <is>
          <t>AN</t>
        </is>
      </c>
      <c r="C22" s="58" t="inlineStr">
        <is>
          <t>AN-1</t>
        </is>
      </c>
      <c r="D22" s="58" t="n">
        <v>1</v>
      </c>
      <c r="E22" s="58" t="inlineStr">
        <is>
          <t xml:space="preserve"> Firma de release con el mismo keystore, versión 1.0→1.1 (code 2), APK firmado y verificado. R8 con minify</t>
        </is>
      </c>
      <c r="F22" s="58" t="n"/>
      <c r="G22" s="58" t="n"/>
      <c r="H22" s="58" t="n"/>
    </row>
    <row r="23">
      <c r="A23" s="57" t="n">
        <v>46263</v>
      </c>
      <c r="B23" s="58" t="inlineStr">
        <is>
          <t>AN</t>
        </is>
      </c>
      <c r="C23" s="58" t="inlineStr">
        <is>
          <t>AN-1</t>
        </is>
      </c>
      <c r="D23" s="58" t="n">
        <v>3</v>
      </c>
      <c r="E23" s="58" t="inlineStr">
        <is>
          <t xml:space="preserve"> Bóveda con contraseña: EvidenceVault, RSA + PBKDF2 + Keystore, destinatarios de clave.  Captura fuera de la galería: LocalEvidenceRepository sin MediaStore, borrado del claro. Pantalla Evidence Vault, VaultRepository, entrada desde Profile</t>
        </is>
      </c>
      <c r="F23" s="58" t="n"/>
      <c r="G23" s="58" t="n"/>
      <c r="H23" s="58" t="n"/>
    </row>
    <row r="24">
      <c r="A24" s="57" t="n">
        <v>46264</v>
      </c>
      <c r="B24" s="58" t="inlineStr">
        <is>
          <t>AN</t>
        </is>
      </c>
      <c r="C24" s="58" t="inlineStr">
        <is>
          <t>AN-1</t>
        </is>
      </c>
      <c r="D24" s="58" t="n">
        <v>2</v>
      </c>
      <c r="E24" s="58" t="inlineStr">
        <is>
          <t xml:space="preserve"> reproductor de audio dentro de la app , nota de audio enlazada al cerrar el incidente. Clasificación de la nota de audio + cierre encadenado; pruebas con adb</t>
        </is>
      </c>
      <c r="F24" s="58" t="n"/>
      <c r="G24" s="58" t="n"/>
      <c r="H24" s="58" t="n"/>
    </row>
    <row r="25">
      <c r="A25" s="57" t="n">
        <v>46264</v>
      </c>
      <c r="B25" s="58" t="inlineStr">
        <is>
          <t>BC</t>
        </is>
      </c>
      <c r="C25" s="58" t="inlineStr">
        <is>
          <t>BC-1</t>
        </is>
      </c>
      <c r="D25" s="58" t="n">
        <v>1</v>
      </c>
      <c r="E25" s="58" t="inlineStr">
        <is>
          <t>Avance documentacion</t>
        </is>
      </c>
      <c r="F25" s="58" t="n"/>
      <c r="G25" s="58" t="n"/>
      <c r="H25" s="58" t="n"/>
    </row>
    <row r="42">
      <c r="C42" s="43" t="inlineStr">
        <is>
          <t>TOTAL HORAS</t>
        </is>
      </c>
      <c r="D42" s="43">
        <f>SUM($D$4:$D$40)</f>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septiembre 2026</t>
        </is>
      </c>
    </row>
    <row r="4">
      <c r="A4" s="57" t="n">
        <v>46268</v>
      </c>
      <c r="B4" s="58" t="inlineStr">
        <is>
          <t>AN</t>
        </is>
      </c>
      <c r="C4" s="58" t="inlineStr">
        <is>
          <t>AN-2</t>
        </is>
      </c>
      <c r="D4" s="58" t="n">
        <v>4</v>
      </c>
      <c r="E4" s="58" t="inlineStr">
        <is>
          <t>IAM AeriaOne, analisis: lectura de los dos documentos de ciberseguridad (arquitectura de 16 secciones con requisitos IAM-01..20, y catalogo de 68 workflows), reparto de responsabilidad (47 tocan al APK o a la bodycam) y plan por fases con estimacion</t>
        </is>
      </c>
      <c r="F4" s="58" t="n"/>
      <c r="G4" s="58" t="inlineStr">
        <is>
          <t>No</t>
        </is>
      </c>
      <c r="H4" s="58" t="inlineStr">
        <is>
          <t>ESTIMADO - CONFIRMAR</t>
        </is>
      </c>
      <c r="J4" s="55" t="inlineStr">
        <is>
          <t>Aplicación</t>
        </is>
      </c>
      <c r="K4" s="55" t="inlineStr">
        <is>
          <t>Bloques</t>
        </is>
      </c>
      <c r="L4" s="55" t="inlineStr">
        <is>
          <t>Días activ.</t>
        </is>
      </c>
      <c r="M4" s="55" t="inlineStr">
        <is>
          <t>Líneas código</t>
        </is>
      </c>
      <c r="N4" s="55" t="inlineStr">
        <is>
          <t>Horas</t>
        </is>
      </c>
      <c r="O4" s="55" t="inlineStr">
        <is>
          <t>Importe</t>
        </is>
      </c>
    </row>
    <row r="5">
      <c r="A5" s="57" t="n">
        <v>46269</v>
      </c>
      <c r="B5" s="58" t="inlineStr">
        <is>
          <t>AN</t>
        </is>
      </c>
      <c r="C5" s="58" t="inlineStr">
        <is>
          <t>AN-2</t>
        </is>
      </c>
      <c r="D5" s="58" t="n">
        <v>1.5</v>
      </c>
      <c r="E5" s="58" t="inlineStr">
        <is>
          <t>Maquina de estados de confianza y pantalla de bloqueo: siete estados de arranque, TrustGate por delante de la navegacion, PIN de 6 digitos con limite de intentos y bloqueo escalonado. Verificado en el Redmi</t>
        </is>
      </c>
      <c r="F5" s="58" t="inlineStr">
        <is>
          <t>f52a7b4</t>
        </is>
      </c>
      <c r="G5" s="58" t="inlineStr">
        <is>
          <t>No</t>
        </is>
      </c>
      <c r="H5" s="58" t="inlineStr">
        <is>
          <t>reloj de sesion 10:25-12:31</t>
        </is>
      </c>
      <c r="J5" s="0" t="inlineStr">
        <is>
          <t>BodyCamServer</t>
        </is>
      </c>
      <c r="K5" s="58" t="inlineStr">
        <is>
          <t>BC-7, BC-8, BC-9</t>
        </is>
      </c>
      <c r="L5" s="0">
        <f>SUMPRODUCT(($B$4:$B$29="BC")/COUNTIFS($A$4:$A$29,$A$4:$A$29&amp;"",$B$4:$B$29,$B$4:$B$29&amp;""))</f>
        <v/>
      </c>
      <c r="M5" s="0" t="n">
        <v>3052</v>
      </c>
      <c r="N5" s="0">
        <f>SUMIFS($D$4:$D$29,$B$4:$B$29,"BC",$G$4:$G$29,"&lt;&gt;Sí")</f>
        <v/>
      </c>
      <c r="O5" s="62">
        <f>N5*$K$9</f>
        <v/>
      </c>
    </row>
    <row r="6">
      <c r="A6" s="57" t="n">
        <v>46269</v>
      </c>
      <c r="B6" s="58" t="inlineStr">
        <is>
          <t>AN</t>
        </is>
      </c>
      <c r="C6" s="58" t="inlineStr">
        <is>
          <t>AN-2</t>
        </is>
      </c>
      <c r="D6" s="58" t="n">
        <v>0.5</v>
      </c>
      <c r="E6" s="58" t="inlineStr">
        <is>
          <t>Workflow 12, alta del telefono: par EC P-256 dentro del TEE con cadena de atestacion, PKCS#10 escrito a mano (sin BouncyCastle, ~130 lineas), CSR validado con openssl y prueba de posesion. 7 pruebas JVM. Verificado en el Redmi</t>
        </is>
      </c>
      <c r="F6" s="58" t="inlineStr">
        <is>
          <t>57081f9</t>
        </is>
      </c>
      <c r="G6" s="58" t="inlineStr">
        <is>
          <t>No</t>
        </is>
      </c>
      <c r="H6" s="58" t="inlineStr">
        <is>
          <t>reloj de sesion 10:25-12:31</t>
        </is>
      </c>
      <c r="J6" s="0" t="inlineStr">
        <is>
          <t>AeriaNexusPrototype</t>
        </is>
      </c>
      <c r="K6" s="58" t="inlineStr">
        <is>
          <t>AN-2, AN-3, AN-4, AN-5, AN-6, AN-7, AN-8</t>
        </is>
      </c>
      <c r="L6" s="0">
        <f>SUMPRODUCT(($B$4:$B$29="AN")/COUNTIFS($A$4:$A$29,$A$4:$A$29&amp;"",$B$4:$B$29,$B$4:$B$29&amp;""))</f>
        <v/>
      </c>
      <c r="M6" s="0" t="n">
        <v>13874</v>
      </c>
      <c r="N6" s="0">
        <f>SUMIFS($D$4:$D$29,$B$4:$B$29,"AN",$G$4:$G$29,"&lt;&gt;Sí")</f>
        <v/>
      </c>
      <c r="O6" s="62">
        <f>N6*$K$9</f>
        <v/>
      </c>
    </row>
    <row r="7">
      <c r="A7" s="57" t="n">
        <v>46271</v>
      </c>
      <c r="B7" s="58" t="inlineStr">
        <is>
          <t>AN</t>
        </is>
      </c>
      <c r="C7" s="58" t="inlineStr">
        <is>
          <t>AN-2</t>
        </is>
      </c>
      <c r="D7" s="58" t="n">
        <v>0.7</v>
      </c>
      <c r="E7" s="58" t="inlineStr">
        <is>
          <t>Seguimiento propio de los 68 workflows: libro de 10 hojas cruzando el catalogo de ciberseguridad con el repositorio, con los 162 pasos de sus hojas de detalle marcados uno a uno</t>
        </is>
      </c>
      <c r="F7" s="58" t="n"/>
      <c r="G7" s="58" t="inlineStr">
        <is>
          <t>No</t>
        </is>
      </c>
      <c r="H7" s="58" t="inlineStr">
        <is>
          <t>reloj de sesion 16:19-20:42 (total medido; reparto por tarea estimado)</t>
        </is>
      </c>
      <c r="J7" s="43" t="inlineStr">
        <is>
          <t>TOTAL DEL MES</t>
        </is>
      </c>
      <c r="K7" s="0">
        <f>SUMPRODUCT(($C$4:$C$29&lt;&gt;"")/COUNTIF($C$4:$C$29,$C$4:$C$29&amp;""))</f>
        <v/>
      </c>
      <c r="L7" s="0">
        <f>SUMPRODUCT(($A$4:$A$29&lt;&gt;"")/COUNTIF($A$4:$A$29,$A$4:$A$29&amp;""))</f>
        <v/>
      </c>
      <c r="M7" s="43">
        <f>SUM(M5:M6)</f>
        <v/>
      </c>
      <c r="N7" s="43">
        <f>SUM(N5:N6)</f>
        <v/>
      </c>
      <c r="O7" s="63">
        <f>SUM(O5:O6)</f>
        <v/>
      </c>
    </row>
    <row r="8">
      <c r="A8" s="57" t="n">
        <v>46271</v>
      </c>
      <c r="B8" s="58" t="inlineStr">
        <is>
          <t>AN</t>
        </is>
      </c>
      <c r="C8" s="58" t="inlineStr">
        <is>
          <t>AN-2</t>
        </is>
      </c>
      <c r="D8" s="58" t="n">
        <v>0.7</v>
      </c>
      <c r="E8" s="58" t="inlineStr">
        <is>
          <t>Workflow 3, certificado del agente: segundo par de claves con alias propio (separado del telefono, regla de no equivalencia), CSR contrafirmado por el terminal y CA de usuario separada de la de dispositivos. 5 pruebas JVM. Verificado en el Redmi</t>
        </is>
      </c>
      <c r="F8" s="58" t="n"/>
      <c r="G8" s="58" t="inlineStr">
        <is>
          <t>No</t>
        </is>
      </c>
      <c r="H8" s="58" t="inlineStr">
        <is>
          <t>reloj de sesion 16:19-20:42 (total medido; reparto por tarea estimado)</t>
        </is>
      </c>
    </row>
    <row r="9">
      <c r="A9" s="57" t="n">
        <v>46271</v>
      </c>
      <c r="B9" s="58" t="inlineStr">
        <is>
          <t>AN</t>
        </is>
      </c>
      <c r="C9" s="58" t="inlineStr">
        <is>
          <t>AN-2</t>
        </is>
      </c>
      <c r="D9" s="58" t="n">
        <v>0.8</v>
      </c>
      <c r="E9" s="58"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58" t="n"/>
      <c r="G9" s="58" t="inlineStr">
        <is>
          <t>No</t>
        </is>
      </c>
      <c r="H9" s="58" t="inlineStr">
        <is>
          <t>reloj de sesion 16:19-20:42 (total medido; reparto por tarea estimado)</t>
        </is>
      </c>
      <c r="J9" s="43" t="inlineStr">
        <is>
          <t>Tarifa (€/h)</t>
        </is>
      </c>
      <c r="K9" s="0" t="n">
        <v>20</v>
      </c>
    </row>
    <row r="10">
      <c r="A10" s="57" t="n">
        <v>46271</v>
      </c>
      <c r="B10" s="58" t="inlineStr">
        <is>
          <t>AN</t>
        </is>
      </c>
      <c r="C10" s="58" t="inlineStr">
        <is>
          <t>AN-2</t>
        </is>
      </c>
      <c r="D10" s="58" t="n">
        <v>0.8</v>
      </c>
      <c r="E10" s="58"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58" t="n"/>
      <c r="G10" s="58" t="inlineStr">
        <is>
          <t>No</t>
        </is>
      </c>
      <c r="H10" s="58" t="inlineStr">
        <is>
          <t>reloj de sesion 16:19-20:42 (total medido; reparto por tarea estimado)</t>
        </is>
      </c>
    </row>
    <row r="11">
      <c r="A11" s="57" t="n">
        <v>46271</v>
      </c>
      <c r="B11" s="58" t="inlineStr">
        <is>
          <t>AN</t>
        </is>
      </c>
      <c r="C11" s="58" t="inlineStr">
        <is>
          <t>AN-3</t>
        </is>
      </c>
      <c r="D11" s="58" t="n">
        <v>0.6</v>
      </c>
      <c r="E11" s="58" t="inlineStr">
        <is>
          <t>Workflow 31 (lado telefono): emparejamiento autenticado mutuo con la bodycam sobre el canal RFCOMM, e indicador de enlace de confianza en la barra superior. 6 pruebas JVM con cuatro ataques. Verificado contra la W1</t>
        </is>
      </c>
      <c r="F11" s="58" t="n"/>
      <c r="G11" s="58" t="inlineStr">
        <is>
          <t>No</t>
        </is>
      </c>
      <c r="H11" s="58" t="inlineStr">
        <is>
          <t>reloj de sesion 16:19-20:42 (total medido; reparto por tarea estimado)</t>
        </is>
      </c>
    </row>
    <row r="12">
      <c r="A12" s="57" t="n">
        <v>46271</v>
      </c>
      <c r="B12" s="58" t="inlineStr">
        <is>
          <t>BC</t>
        </is>
      </c>
      <c r="C12" s="58" t="inlineStr">
        <is>
          <t>BC-7</t>
        </is>
      </c>
      <c r="D12" s="58" t="n">
        <v>0.6</v>
      </c>
      <c r="E12" s="58" t="inlineStr">
        <is>
          <t>Workflows 13 y 31 (lado bodycam): identidad EC propia de la W1 en su Keystore, CSR y certificado emitido por la misma CA de dispositivos que los telefonos, y su mitad del emparejamiento. Verificado en la W1</t>
        </is>
      </c>
      <c r="F12" s="58" t="n"/>
      <c r="G12" s="58" t="inlineStr">
        <is>
          <t>No</t>
        </is>
      </c>
      <c r="H12" s="58" t="inlineStr">
        <is>
          <t>reloj de sesion 16:19-20:42 (total medido; reparto por tarea estimado)</t>
        </is>
      </c>
    </row>
    <row r="13">
      <c r="A13" s="57" t="n">
        <v>46271</v>
      </c>
      <c r="B13" s="58" t="inlineStr">
        <is>
          <t>AN</t>
        </is>
      </c>
      <c r="C13" s="58" t="inlineStr">
        <is>
          <t>AN-3</t>
        </is>
      </c>
      <c r="D13" s="58" t="n">
        <v>0.1</v>
      </c>
      <c r="E13" s="58" t="inlineStr">
        <is>
          <t>Workflows 33 y 34 (lado telefono): atadura agente-camara firmada con la clave del agente, con caducidad y deshecha al cerrar sesion. ESCRITO Y COMPILA, SIN VERIFICAR EN DISPOSITIVO</t>
        </is>
      </c>
      <c r="F13" s="58" t="n"/>
      <c r="G13" s="58" t="inlineStr">
        <is>
          <t>No</t>
        </is>
      </c>
      <c r="H13" s="58" t="inlineStr">
        <is>
          <t>reloj de sesion 16:19-20:42 (total medido; reparto por tarea estimado)</t>
        </is>
      </c>
    </row>
    <row r="14">
      <c r="A14" s="57" t="n">
        <v>46271</v>
      </c>
      <c r="B14" s="58" t="inlineStr">
        <is>
          <t>BC</t>
        </is>
      </c>
      <c r="C14" s="58" t="inlineStr">
        <is>
          <t>BC-7</t>
        </is>
      </c>
      <c r="D14" s="58" t="n">
        <v>0.1</v>
      </c>
      <c r="E14" s="58" t="inlineStr">
        <is>
          <t>Workflows 33 y 34 (lado bodycam): validacion de la atadura contra la CA de usuario, atada al nonce de la sesion de emparejamiento. ESCRITO Y COMPILA, SIN VERIFICAR EN DISPOSITIVO</t>
        </is>
      </c>
      <c r="F14" s="58" t="n"/>
      <c r="G14" s="58" t="inlineStr">
        <is>
          <t>No</t>
        </is>
      </c>
      <c r="H14" s="58" t="inlineStr">
        <is>
          <t>reloj de sesion 16:19-20:42 (total medido; reparto por tarea estimado)</t>
        </is>
      </c>
    </row>
    <row r="15">
      <c r="A15" s="57" t="n">
        <v>46272</v>
      </c>
      <c r="B15" s="58" t="inlineStr">
        <is>
          <t>AN</t>
        </is>
      </c>
      <c r="C15" s="58" t="inlineStr">
        <is>
          <t>AN-5</t>
        </is>
      </c>
      <c r="D15" s="58" t="n">
        <v>3</v>
      </c>
      <c r="E15" s="58"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58" t="inlineStr">
        <is>
          <t>8b7111d</t>
        </is>
      </c>
      <c r="G15" s="58" t="inlineStr">
        <is>
          <t>No</t>
        </is>
      </c>
      <c r="H15" s="58" t="inlineStr">
        <is>
          <t>indicado por el usuario; marcas de fichero 21:05-23:02</t>
        </is>
      </c>
    </row>
    <row r="16">
      <c r="A16" s="57" t="n">
        <v>46273</v>
      </c>
      <c r="B16" s="58" t="inlineStr">
        <is>
          <t>BC</t>
        </is>
      </c>
      <c r="C16" s="58" t="inlineStr">
        <is>
          <t>BC-8</t>
        </is>
      </c>
      <c r="D16" s="58" t="n">
        <v>2.8</v>
      </c>
      <c r="E16" s="58"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58" t="inlineStr">
        <is>
          <t>sin commitear</t>
        </is>
      </c>
      <c r="G16" s="58" t="inlineStr">
        <is>
          <t>No</t>
        </is>
      </c>
      <c r="H16" s="58" t="inlineStr">
        <is>
          <t>marcas de fichero 12:33-16:39 (total medido; reparto por app estimado)</t>
        </is>
      </c>
    </row>
    <row r="17">
      <c r="A17" s="57" t="n">
        <v>46273</v>
      </c>
      <c r="B17" s="58" t="inlineStr">
        <is>
          <t>AN</t>
        </is>
      </c>
      <c r="C17" s="58" t="inlineStr">
        <is>
          <t>AN-4</t>
        </is>
      </c>
      <c r="D17" s="58" t="n">
        <v>1.5</v>
      </c>
      <c r="E17" s="58"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58" t="inlineStr">
        <is>
          <t>sin commitear</t>
        </is>
      </c>
      <c r="G17" s="58" t="inlineStr">
        <is>
          <t>No</t>
        </is>
      </c>
      <c r="H17" s="58" t="inlineStr">
        <is>
          <t>marcas de fichero 12:33-16:53 (total medido; reparto por app estimado)</t>
        </is>
      </c>
    </row>
    <row r="18">
      <c r="A18" s="57" t="n">
        <v>46273</v>
      </c>
      <c r="B18" s="58" t="inlineStr">
        <is>
          <t>AN</t>
        </is>
      </c>
      <c r="C18" s="58" t="inlineStr">
        <is>
          <t>AN-4</t>
        </is>
      </c>
      <c r="D18" s="58" t="n">
        <v>0.5</v>
      </c>
      <c r="E18" s="58"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58" t="inlineStr">
        <is>
          <t>sin commitear</t>
        </is>
      </c>
      <c r="G18" s="58" t="inlineStr">
        <is>
          <t>No</t>
        </is>
      </c>
      <c r="H18" s="58" t="inlineStr">
        <is>
          <t>marcas de fichero 17:40-18:10</t>
        </is>
      </c>
    </row>
    <row r="19">
      <c r="A19" s="57" t="n">
        <v>46274</v>
      </c>
      <c r="B19" s="58" t="inlineStr">
        <is>
          <t>BC</t>
        </is>
      </c>
      <c r="C19" s="58" t="inlineStr">
        <is>
          <t>BC-8</t>
        </is>
      </c>
      <c r="D19" s="58" t="n">
        <v>1.2</v>
      </c>
      <c r="E19" s="58"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58" t="inlineStr">
        <is>
          <t>c000b50</t>
        </is>
      </c>
      <c r="G19" s="58" t="inlineStr">
        <is>
          <t>No</t>
        </is>
      </c>
      <c r="H19" s="58" t="inlineStr">
        <is>
          <t>marcas de fichero 08:41-12:21 (total medido; reparto por tarea estimado)</t>
        </is>
      </c>
    </row>
    <row r="20">
      <c r="A20" s="57" t="n">
        <v>46274</v>
      </c>
      <c r="B20" s="58" t="inlineStr">
        <is>
          <t>AN</t>
        </is>
      </c>
      <c r="C20" s="58" t="inlineStr">
        <is>
          <t>AN-4</t>
        </is>
      </c>
      <c r="D20" s="58" t="n">
        <v>1</v>
      </c>
      <c r="E20" s="58"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58" t="inlineStr">
        <is>
          <t>5492a2c</t>
        </is>
      </c>
      <c r="G20" s="58" t="inlineStr">
        <is>
          <t>No</t>
        </is>
      </c>
      <c r="H20" s="58" t="inlineStr">
        <is>
          <t>marcas de fichero 08:41-12:21 (total medido; reparto por tarea estimado)</t>
        </is>
      </c>
    </row>
    <row r="21">
      <c r="A21" s="57" t="n">
        <v>46274</v>
      </c>
      <c r="B21" s="58" t="inlineStr">
        <is>
          <t>AN</t>
        </is>
      </c>
      <c r="C21" s="58" t="inlineStr">
        <is>
          <t>AN-4</t>
        </is>
      </c>
      <c r="D21" s="58" t="n">
        <v>1</v>
      </c>
      <c r="E21" s="58"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58" t="inlineStr">
        <is>
          <t>5492a2c</t>
        </is>
      </c>
      <c r="G21" s="58" t="inlineStr">
        <is>
          <t>No</t>
        </is>
      </c>
      <c r="H21" s="58" t="inlineStr">
        <is>
          <t>marcas de fichero 08:41-12:21 (total medido; reparto por tarea estimado)</t>
        </is>
      </c>
    </row>
    <row r="22" s="38">
      <c r="A22" s="57" t="n">
        <v>46274</v>
      </c>
      <c r="B22" s="58" t="inlineStr">
        <is>
          <t>AN</t>
        </is>
      </c>
      <c r="C22" s="58" t="inlineStr">
        <is>
          <t>AN-5</t>
        </is>
      </c>
      <c r="D22" s="58" t="n">
        <v>0.5</v>
      </c>
      <c r="E22" s="58"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58" t="inlineStr">
        <is>
          <t>sin commitear</t>
        </is>
      </c>
      <c r="G22" s="58" t="inlineStr">
        <is>
          <t>No</t>
        </is>
      </c>
      <c r="H22" s="58" t="inlineStr">
        <is>
          <t>marcas de fichero 08:41-12:21 (total medido; reparto por tarea estimado)</t>
        </is>
      </c>
    </row>
    <row r="23">
      <c r="A23" s="57" t="n">
        <v>46274</v>
      </c>
      <c r="B23" s="58" t="inlineStr">
        <is>
          <t>BC</t>
        </is>
      </c>
      <c r="C23" s="58" t="n"/>
      <c r="D23" s="58" t="n">
        <v>1</v>
      </c>
      <c r="E23" s="58" t="inlineStr">
        <is>
          <t>Reunion</t>
        </is>
      </c>
      <c r="F23" s="58" t="n"/>
      <c r="G23" s="58" t="inlineStr">
        <is>
          <t>No</t>
        </is>
      </c>
      <c r="H23" s="58" t="inlineStr">
        <is>
          <t>indicado por el usuario</t>
        </is>
      </c>
    </row>
    <row r="24" s="38">
      <c r="A24" s="57" t="n">
        <v>46274</v>
      </c>
      <c r="B24" s="58" t="inlineStr">
        <is>
          <t>AN</t>
        </is>
      </c>
      <c r="C24" s="58" t="inlineStr">
        <is>
          <t>AN-7</t>
        </is>
      </c>
      <c r="D24" s="58" t="n">
        <v>3</v>
      </c>
      <c r="E24" s="58"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58" t="inlineStr">
        <is>
          <t>22768a9</t>
        </is>
      </c>
      <c r="G24" s="58" t="inlineStr">
        <is>
          <t>No</t>
        </is>
      </c>
      <c r="H24" s="58" t="inlineStr">
        <is>
          <t>marcas de fichero 13:13-15:57 (2,7 h medidas), redondeado al alza a 3 h</t>
        </is>
      </c>
    </row>
    <row r="25">
      <c r="A25" s="57" t="n">
        <v>46274</v>
      </c>
      <c r="B25" s="58" t="inlineStr">
        <is>
          <t>AN</t>
        </is>
      </c>
      <c r="C25" s="58" t="inlineStr">
        <is>
          <t>AN-5</t>
        </is>
      </c>
      <c r="D25" s="58" t="n">
        <v>1.3</v>
      </c>
      <c r="E25" s="58"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58" t="inlineStr">
        <is>
          <t>sin commitear</t>
        </is>
      </c>
      <c r="G25" s="58" t="inlineStr">
        <is>
          <t>No</t>
        </is>
      </c>
      <c r="H25" s="58" t="inlineStr">
        <is>
          <t>reloj de sesion 21:05-22:25</t>
        </is>
      </c>
    </row>
    <row r="26" s="38">
      <c r="A26" s="57" t="n">
        <v>46276</v>
      </c>
      <c r="B26" s="58" t="inlineStr">
        <is>
          <t>AN</t>
        </is>
      </c>
      <c r="C26" s="58" t="inlineStr">
        <is>
          <t>AN-6</t>
        </is>
      </c>
      <c r="D26" s="58" t="n">
        <v>1.8</v>
      </c>
      <c r="E26" s="58"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58" t="inlineStr">
        <is>
          <t>sin commitear</t>
        </is>
      </c>
      <c r="G26" s="58" t="inlineStr">
        <is>
          <t>No</t>
        </is>
      </c>
      <c r="H26" s="58" t="inlineStr">
        <is>
          <t>reloj de sesion 14:26-16:30 (2,1 h medidas), redondeado al alza a 3 h por indicacion del usuario; reparto por app estimado</t>
        </is>
      </c>
    </row>
    <row r="27" s="38">
      <c r="A27" s="57" t="n">
        <v>46276</v>
      </c>
      <c r="B27" s="58" t="inlineStr">
        <is>
          <t>BC</t>
        </is>
      </c>
      <c r="C27" s="58" t="inlineStr">
        <is>
          <t>BC-9</t>
        </is>
      </c>
      <c r="D27" s="58" t="n">
        <v>1.2</v>
      </c>
      <c r="E27" s="58"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58" t="inlineStr">
        <is>
          <t>sin commitear</t>
        </is>
      </c>
      <c r="G27" s="58" t="inlineStr">
        <is>
          <t>No</t>
        </is>
      </c>
      <c r="H27" s="58" t="inlineStr">
        <is>
          <t>reloj de sesion 14:26-16:30 (2,1 h medidas), redondeado al alza a 3 h por indicacion del usuario; reparto por app estimado</t>
        </is>
      </c>
    </row>
    <row r="28">
      <c r="A28" s="57" t="n">
        <v>46277</v>
      </c>
      <c r="B28" s="58" t="inlineStr">
        <is>
          <t>AN</t>
        </is>
      </c>
      <c r="C28" s="58" t="inlineStr">
        <is>
          <t>AN-5</t>
        </is>
      </c>
      <c r="D28" s="58" t="n">
        <v>3</v>
      </c>
      <c r="E28" s="58"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58" t="inlineStr">
        <is>
          <t>sin commitear</t>
        </is>
      </c>
      <c r="G28" s="58" t="inlineStr">
        <is>
          <t>No</t>
        </is>
      </c>
      <c r="H28" s="58" t="inlineStr">
        <is>
          <t>indicado por el usuario</t>
        </is>
      </c>
    </row>
    <row r="29">
      <c r="A29" s="57" t="n">
        <v>46278</v>
      </c>
      <c r="B29" s="58" t="inlineStr">
        <is>
          <t>AN</t>
        </is>
      </c>
      <c r="C29" s="58" t="inlineStr">
        <is>
          <t>AN-8</t>
        </is>
      </c>
      <c r="D29" s="58" t="n">
        <v>5.5</v>
      </c>
      <c r="E29" s="58" t="inlineStr">
        <is>
          <t>Rele de la bodycam a las gafas, de punta a punta. El oficial pulsa grabar o el SOS en la camara del pecho y las gafas graban solas, sin tocar el telefono (peticion del manager). Las gafas y la bodycam no pueden hablarse: el telefono hace de puente invisible. Incluye el canal BLE permanente con reintento en BodycamService, el estado de grabacion honesto con los botones fisicos y los avisos de camara, la notificacion de video pendiente, la descarga completa por el WiFi de las gafas hasta la boveda cifrada, y el aviso sonoro cuando un SOS se queda sin gafas. Antes, desmontado el AAR del fabricante para sacar el protocolo HTTP (listar, descargar y borrar), que estaba sin documentar. Verificado contra la W1 y las gafas: del boton al fichero cifrado en 14 s. Arreglados ademas dos fallos que salieron por el camino: la boveda mataba la app al abrirse (claves repetidas en la lista) y los nombres de fichero podian pisarse en descargas en lote.</t>
        </is>
      </c>
      <c r="F29" s="58" t="inlineStr">
        <is>
          <t>347abb0 + sin commitear</t>
        </is>
      </c>
      <c r="G29" s="58" t="inlineStr">
        <is>
          <t>No</t>
        </is>
      </c>
      <c r="H29" s="58" t="inlineStr">
        <is>
          <t>marcas de fichero 15:13-20:37 (5,4 h medidas), redondeado al alza a 5,5 h</t>
        </is>
      </c>
    </row>
    <row r="31">
      <c r="C31" s="43" t="inlineStr">
        <is>
          <t>TOTAL HORAS</t>
        </is>
      </c>
      <c r="D31" s="43">
        <f>SUM($D$4:$D$29)</f>
        <v/>
      </c>
    </row>
    <row r="33" ht="58" customHeight="1" s="38">
      <c r="A33" s="61"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El oficial pulsa grabar o el SOS del pecho y las gafas graban solas; el telefono hace de puente porque las gafas solo entienden el SDK del fabricante, que corre en Android. Incluye canal BLE permanente con reintento, estado de grabacion honesto, aviso de video pendiente, descarga por el WiFi de las gafas hasta la boveda cifrada y aviso sonoro si un SOS se queda sin gafas. Verificado contra el hardware el mismo dia. Las horas salen de marcas de fichero 15:13-20:37 (5,4 h medidas) redondeadas al alza a 5,5 h segun la regla de redondeo; NO se cuenta el analisis inicial de esta propia tabla, que fue antes de la primera marca. Lineas del 13: 1.765 anadidas (611 en el commit 347abb0, 690 en ficheros nuevos posteriores, 426 de modificaciones y 38 netas del renombrado del rele); de ellas 527 son sondas de depuracion que NO van a release.</t>
        </is>
      </c>
    </row>
  </sheetData>
  <mergeCells count="3">
    <mergeCell ref="A33:H33"/>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2026-09-13T18:42:19Z</dcterms:modified>
</cp:coreProperties>
</file>