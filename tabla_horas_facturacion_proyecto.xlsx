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quot;€&quot;"/>
    <numFmt numFmtId="167" formatCode="#,##0.00 €"/>
  </numFmts>
  <fonts count="15">
    <font>
      <name val="Arial"/>
      <color rgb="FF000000"/>
      <sz val="10"/>
      <scheme val="minor"/>
    </font>
    <font>
      <name val="Calibri"/>
      <b val="1"/>
      <color rgb="FFFFFFFF"/>
      <sz val="16"/>
    </font>
    <font/>
    <font>
      <name val="Calibri"/>
      <i val="1"/>
      <color rgb="FF606060"/>
      <sz val="9"/>
    </font>
    <font>
      <name val="Calibri"/>
      <b val="1"/>
      <color rgb="FFFFFFFF"/>
    </font>
    <font>
      <name val="Calibri"/>
      <color theme="1"/>
      <sz val="11"/>
    </font>
    <font>
      <name val="Calibri"/>
      <b val="1"/>
      <color rgb="FF1F3864"/>
      <sz val="12"/>
    </font>
    <font>
      <name val="Consolas"/>
      <color theme="1"/>
    </font>
    <font>
      <name val="Calibri"/>
      <b val="1"/>
      <color theme="1"/>
    </font>
    <font>
      <name val="Calibri"/>
      <b val="1"/>
      <color theme="1"/>
      <sz val="11"/>
    </font>
    <font>
      <b val="1"/>
    </font>
    <font>
      <name val="Calibri"/>
      <i val="1"/>
      <sz val="9"/>
    </font>
    <font>
      <name val="Calibri"/>
      <b val="1"/>
      <color rgb="001F3864"/>
      <sz val="12"/>
    </font>
    <font>
      <name val="Calibri"/>
      <b val="1"/>
      <color rgb="00FFFFFF"/>
      <sz val="10"/>
    </font>
    <font>
      <name val="Calibri"/>
      <b val="1"/>
      <color rgb="001F3864"/>
      <sz val="11"/>
    </font>
  </fonts>
  <fills count="9">
    <fill>
      <patternFill/>
    </fill>
    <fill>
      <patternFill patternType="lightGray"/>
    </fill>
    <fill>
      <patternFill patternType="solid">
        <fgColor rgb="FF1F3864"/>
        <bgColor rgb="FF1F3864"/>
      </patternFill>
    </fill>
    <fill>
      <patternFill patternType="solid">
        <fgColor rgb="FF2E5C9A"/>
        <bgColor rgb="FF2E5C9A"/>
      </patternFill>
    </fill>
    <fill>
      <patternFill patternType="solid">
        <fgColor rgb="FFFFF9E6"/>
        <bgColor rgb="FFFFF9E6"/>
      </patternFill>
    </fill>
    <fill>
      <patternFill patternType="solid">
        <fgColor rgb="FFEDF1F7"/>
        <bgColor rgb="FFEDF1F7"/>
      </patternFill>
    </fill>
    <fill>
      <patternFill patternType="solid">
        <fgColor rgb="FFFFF2CC"/>
        <bgColor rgb="FFFFF2CC"/>
      </patternFill>
    </fill>
    <fill>
      <patternFill patternType="solid">
        <fgColor rgb="00FFF2CC"/>
      </patternFill>
    </fill>
    <fill>
      <patternFill patternType="solid">
        <fgColor rgb="001F3864"/>
      </patternFill>
    </fill>
  </fills>
  <borders count="10">
    <border/>
    <border>
      <left/>
      <top/>
      <bottom/>
    </border>
    <border>
      <top/>
      <bottom/>
    </border>
    <border>
      <right/>
      <top/>
      <bottom/>
    </border>
    <border>
      <left style="thin">
        <color rgb="FFB8C4D9"/>
      </left>
      <right style="thin">
        <color rgb="FFB8C4D9"/>
      </right>
      <top style="thin">
        <color rgb="FFB8C4D9"/>
      </top>
      <bottom style="thin">
        <color rgb="FFB8C4D9"/>
      </bottom>
    </border>
    <border>
      <left/>
      <right/>
      <top/>
      <bottom/>
    </border>
    <border>
      <top style="thin">
        <color rgb="FFB8C4D9"/>
      </top>
    </border>
    <border>
      <right style="thin">
        <color rgb="FFB8C4D9"/>
      </right>
      <top style="thin">
        <color rgb="FFB8C4D9"/>
      </top>
    </border>
    <border>
      <top style="thin">
        <color rgb="FFB8C4D9"/>
      </top>
      <bottom style="thin">
        <color rgb="FFB8C4D9"/>
      </bottom>
    </border>
    <border>
      <right style="thin">
        <color rgb="FFB8C4D9"/>
      </right>
      <top style="thin">
        <color rgb="FFB8C4D9"/>
      </top>
      <bottom style="thin">
        <color rgb="FFB8C4D9"/>
      </bottom>
    </border>
  </borders>
  <cellStyleXfs count="1">
    <xf numFmtId="0" fontId="0" fillId="0" borderId="0"/>
  </cellStyleXfs>
  <cellXfs count="64">
    <xf numFmtId="0" fontId="0" fillId="0" borderId="0" applyAlignment="1" pivotButton="0" quotePrefix="0" xfId="0">
      <alignment vertical="bottom"/>
    </xf>
    <xf numFmtId="0" fontId="1" fillId="2" borderId="1" pivotButton="0" quotePrefix="0" xfId="0"/>
    <xf numFmtId="0" fontId="2" fillId="0" borderId="2" pivotButton="0" quotePrefix="0" xfId="0"/>
    <xf numFmtId="0" fontId="2" fillId="0" borderId="3" pivotButton="0" quotePrefix="0" xfId="0"/>
    <xf numFmtId="0" fontId="3" fillId="0" borderId="0" applyAlignment="1" pivotButton="0" quotePrefix="0" xfId="0">
      <alignment vertical="bottom"/>
    </xf>
    <xf numFmtId="0" fontId="4" fillId="3" borderId="4" applyAlignment="1" pivotButton="0" quotePrefix="0" xfId="0">
      <alignment horizontal="center"/>
    </xf>
    <xf numFmtId="0" fontId="5" fillId="0" borderId="0" applyAlignment="1" pivotButton="0" quotePrefix="0" xfId="0">
      <alignment vertical="bottom"/>
    </xf>
    <xf numFmtId="0" fontId="6" fillId="0" borderId="0" applyAlignment="1" pivotButton="0" quotePrefix="0" xfId="0">
      <alignment vertical="bottom"/>
    </xf>
    <xf numFmtId="164" fontId="5" fillId="0" borderId="4" applyAlignment="1" pivotButton="0" quotePrefix="0" xfId="0">
      <alignment horizontal="center"/>
    </xf>
    <xf numFmtId="0" fontId="5" fillId="0" borderId="4" applyAlignment="1" pivotButton="0" quotePrefix="0" xfId="0">
      <alignment horizontal="center"/>
    </xf>
    <xf numFmtId="165" fontId="5" fillId="4" borderId="4" applyAlignment="1" pivotButton="0" quotePrefix="0" xfId="0">
      <alignment horizontal="center"/>
    </xf>
    <xf numFmtId="0" fontId="5" fillId="0" borderId="4" applyAlignment="1" pivotButton="0" quotePrefix="0" xfId="0">
      <alignment wrapText="1"/>
    </xf>
    <xf numFmtId="0" fontId="7" fillId="0" borderId="4" applyAlignment="1" pivotButton="0" quotePrefix="0" xfId="0">
      <alignment horizontal="center"/>
    </xf>
    <xf numFmtId="0" fontId="5" fillId="0" borderId="4" applyAlignment="1" pivotButton="0" quotePrefix="0" xfId="0">
      <alignment vertical="bottom"/>
    </xf>
    <xf numFmtId="0" fontId="8" fillId="0" borderId="4" applyAlignment="1" pivotButton="0" quotePrefix="0" xfId="0">
      <alignment vertical="bottom"/>
    </xf>
    <xf numFmtId="3" fontId="5" fillId="0" borderId="4" applyAlignment="1" pivotButton="0" quotePrefix="0" xfId="0">
      <alignment horizontal="right"/>
    </xf>
    <xf numFmtId="165" fontId="5" fillId="0" borderId="4" applyAlignment="1" pivotButton="0" quotePrefix="0" xfId="0">
      <alignment horizontal="center"/>
    </xf>
    <xf numFmtId="166" fontId="5" fillId="0" borderId="4" applyAlignment="1" pivotButton="0" quotePrefix="0" xfId="0">
      <alignment horizontal="right"/>
    </xf>
    <xf numFmtId="0" fontId="5" fillId="0" borderId="4" pivotButton="0" quotePrefix="0" xfId="0"/>
    <xf numFmtId="0" fontId="8" fillId="5" borderId="4" applyAlignment="1" pivotButton="0" quotePrefix="0" xfId="0">
      <alignment vertical="bottom"/>
    </xf>
    <xf numFmtId="0" fontId="5" fillId="5" borderId="4" applyAlignment="1" pivotButton="0" quotePrefix="0" xfId="0">
      <alignment horizontal="center"/>
    </xf>
    <xf numFmtId="3" fontId="5" fillId="5" borderId="4" applyAlignment="1" pivotButton="0" quotePrefix="0" xfId="0">
      <alignment horizontal="right"/>
    </xf>
    <xf numFmtId="165" fontId="5" fillId="5" borderId="4" applyAlignment="1" pivotButton="0" quotePrefix="0" xfId="0">
      <alignment horizontal="center"/>
    </xf>
    <xf numFmtId="166" fontId="5" fillId="5" borderId="4" applyAlignment="1" pivotButton="0" quotePrefix="0" xfId="0">
      <alignment horizontal="right"/>
    </xf>
    <xf numFmtId="0" fontId="9" fillId="6" borderId="4" applyAlignment="1" pivotButton="0" quotePrefix="0" xfId="0">
      <alignment vertical="bottom"/>
    </xf>
    <xf numFmtId="0" fontId="9" fillId="6" borderId="4" applyAlignment="1" pivotButton="0" quotePrefix="0" xfId="0">
      <alignment horizontal="center"/>
    </xf>
    <xf numFmtId="3" fontId="9" fillId="6" borderId="4" applyAlignment="1" pivotButton="0" quotePrefix="0" xfId="0">
      <alignment horizontal="right"/>
    </xf>
    <xf numFmtId="165" fontId="9" fillId="6" borderId="4" applyAlignment="1" pivotButton="0" quotePrefix="0" xfId="0">
      <alignment horizontal="center"/>
    </xf>
    <xf numFmtId="166" fontId="9" fillId="6" borderId="4" applyAlignment="1" pivotButton="0" quotePrefix="0" xfId="0">
      <alignment horizontal="right"/>
    </xf>
    <xf numFmtId="164" fontId="5" fillId="5" borderId="4" applyAlignment="1" pivotButton="0" quotePrefix="0" xfId="0">
      <alignment horizontal="center"/>
    </xf>
    <xf numFmtId="0" fontId="5" fillId="5" borderId="4" applyAlignment="1" pivotButton="0" quotePrefix="0" xfId="0">
      <alignment wrapText="1"/>
    </xf>
    <xf numFmtId="0" fontId="7" fillId="5" borderId="4" applyAlignment="1" pivotButton="0" quotePrefix="0" xfId="0">
      <alignment horizontal="center"/>
    </xf>
    <xf numFmtId="0" fontId="5" fillId="5" borderId="4" applyAlignment="1" pivotButton="0" quotePrefix="0" xfId="0">
      <alignment vertical="bottom"/>
    </xf>
    <xf numFmtId="0" fontId="5" fillId="5" borderId="4" pivotButton="0" quotePrefix="0" xfId="0"/>
    <xf numFmtId="164" fontId="5" fillId="5" borderId="4" pivotButton="0" quotePrefix="0" xfId="0"/>
    <xf numFmtId="165" fontId="5" fillId="4" borderId="4" pivotButton="0" quotePrefix="0" xfId="0"/>
    <xf numFmtId="164" fontId="5" fillId="0" borderId="4" pivotButton="0" quotePrefix="0" xfId="0"/>
    <xf numFmtId="0" fontId="9" fillId="0" borderId="0" applyAlignment="1" pivotButton="0" quotePrefix="0" xfId="0">
      <alignment horizontal="right"/>
    </xf>
    <xf numFmtId="0" fontId="0" fillId="0" borderId="0" pivotButton="0" quotePrefix="0" xfId="0"/>
    <xf numFmtId="0" fontId="1" fillId="2" borderId="5" pivotButton="0" quotePrefix="0" xfId="0"/>
    <xf numFmtId="1" fontId="5" fillId="0" borderId="4" applyAlignment="1" pivotButton="0" quotePrefix="0" xfId="0">
      <alignment horizontal="center"/>
    </xf>
    <xf numFmtId="1" fontId="5" fillId="5" borderId="4" applyAlignment="1" pivotButton="0" quotePrefix="0" xfId="0">
      <alignment horizontal="center"/>
    </xf>
    <xf numFmtId="1" fontId="9" fillId="6" borderId="4" applyAlignment="1" pivotButton="0" quotePrefix="0" xfId="0">
      <alignment horizontal="center"/>
    </xf>
    <xf numFmtId="0" fontId="10" fillId="0" borderId="0" pivotButton="0" quotePrefix="0" xfId="0"/>
    <xf numFmtId="166" fontId="10" fillId="0" borderId="0" pivotButton="0" quotePrefix="0" xfId="0"/>
    <xf numFmtId="0" fontId="5" fillId="5" borderId="4" applyAlignment="1" pivotButton="0" quotePrefix="0" xfId="0">
      <alignment vertical="top"/>
    </xf>
    <xf numFmtId="165" fontId="5" fillId="4" borderId="4" applyAlignment="1" pivotButton="0" quotePrefix="0" xfId="0">
      <alignment vertical="top"/>
    </xf>
    <xf numFmtId="0" fontId="5" fillId="5" borderId="4" applyAlignment="1" pivotButton="0" quotePrefix="0" xfId="0">
      <alignment vertical="top" wrapText="1"/>
    </xf>
    <xf numFmtId="0" fontId="5" fillId="0" borderId="4" applyAlignment="1" pivotButton="0" quotePrefix="0" xfId="0">
      <alignment vertical="top"/>
    </xf>
    <xf numFmtId="0" fontId="5" fillId="0" borderId="4" applyAlignment="1" pivotButton="0" quotePrefix="0" xfId="0">
      <alignment vertical="top" wrapText="1"/>
    </xf>
    <xf numFmtId="164" fontId="11" fillId="7" borderId="4" applyAlignment="1" pivotButton="0" quotePrefix="0" xfId="0">
      <alignment vertical="top" wrapText="1"/>
    </xf>
    <xf numFmtId="0" fontId="0" fillId="0" borderId="8" pivotButton="0" quotePrefix="0" xfId="0"/>
    <xf numFmtId="0" fontId="0" fillId="0" borderId="9" pivotButton="0" quotePrefix="0" xfId="0"/>
    <xf numFmtId="0" fontId="12" fillId="0" borderId="0" pivotButton="0" quotePrefix="0" xfId="0"/>
    <xf numFmtId="0" fontId="11" fillId="0" borderId="0" applyAlignment="1" pivotButton="0" quotePrefix="0" xfId="0">
      <alignment vertical="top" wrapText="1"/>
    </xf>
    <xf numFmtId="0" fontId="13" fillId="8" borderId="0" applyAlignment="1" pivotButton="0" quotePrefix="0" xfId="0">
      <alignment horizontal="center" vertical="center" wrapText="1"/>
    </xf>
    <xf numFmtId="0" fontId="14" fillId="0" borderId="0" pivotButton="0" quotePrefix="0" xfId="0"/>
    <xf numFmtId="164" fontId="0" fillId="0" borderId="0" applyAlignment="1" pivotButton="0" quotePrefix="0" xfId="0">
      <alignment vertical="top" wrapText="1"/>
    </xf>
    <xf numFmtId="0" fontId="0" fillId="0" borderId="0" applyAlignment="1" pivotButton="0" quotePrefix="0" xfId="0">
      <alignment vertical="top" wrapText="1"/>
    </xf>
    <xf numFmtId="167" fontId="0" fillId="0" borderId="0" pivotButton="0" quotePrefix="0" xfId="0"/>
    <xf numFmtId="167" fontId="10" fillId="0" borderId="0" pivotButton="0" quotePrefix="0" xfId="0"/>
    <xf numFmtId="0" fontId="11" fillId="7" borderId="0" applyAlignment="1" pivotButton="0" quotePrefix="0" xfId="0">
      <alignment vertical="top" wrapText="1"/>
    </xf>
    <xf numFmtId="167" fontId="0" fillId="0" borderId="0" pivotButton="0" quotePrefix="0" xfId="0"/>
    <xf numFmtId="167" fontId="1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42"/>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agosto 2026</t>
        </is>
      </c>
    </row>
    <row r="4">
      <c r="A4" s="57" t="n">
        <v>46243</v>
      </c>
      <c r="B4" s="58" t="inlineStr">
        <is>
          <t>BC</t>
        </is>
      </c>
      <c r="C4" s="58" t="inlineStr">
        <is>
          <t>BC-1</t>
        </is>
      </c>
      <c r="D4" s="58" t="n">
        <v>6</v>
      </c>
      <c r="E4" s="58" t="inlineStr">
        <is>
          <t>Grabación continua: EvidenceStore (buffer en anillo, pre-roll 120 s, segmentos 8 MB), reescritura de RecordingActivity, retirada de CameraController</t>
        </is>
      </c>
      <c r="F4" s="58" t="inlineStr">
        <is>
          <t>d4a4709</t>
        </is>
      </c>
      <c r="G4" s="58" t="inlineStr">
        <is>
          <t>No</t>
        </is>
      </c>
      <c r="H4" s="58" t="n"/>
      <c r="J4" s="55" t="inlineStr">
        <is>
          <t>Aplicación</t>
        </is>
      </c>
      <c r="K4" s="55" t="inlineStr">
        <is>
          <t>Bloques</t>
        </is>
      </c>
      <c r="L4" s="55" t="inlineStr">
        <is>
          <t>Días activ.</t>
        </is>
      </c>
      <c r="M4" s="55" t="inlineStr">
        <is>
          <t>Líneas código</t>
        </is>
      </c>
      <c r="N4" s="55" t="inlineStr">
        <is>
          <t>Horas</t>
        </is>
      </c>
      <c r="O4" s="55" t="inlineStr">
        <is>
          <t>Importe</t>
        </is>
      </c>
    </row>
    <row r="5">
      <c r="A5" s="57" t="n">
        <v>46248</v>
      </c>
      <c r="B5" s="58" t="inlineStr">
        <is>
          <t>BC</t>
        </is>
      </c>
      <c r="C5" s="58" t="inlineStr">
        <is>
          <t>BC-2</t>
        </is>
      </c>
      <c r="D5" s="58" t="n">
        <v>6</v>
      </c>
      <c r="E5" s="58" t="inlineStr">
        <is>
          <t>Cifrado (medicion): CryptoBenchmark (SHA-256 + AES-256-GCM por bloques), RecorderWatch (watchdog de grabaciones largas), endpoint /benchmark, fix de path traversal, 2 scripts Python, testing con videos reales</t>
        </is>
      </c>
      <c r="F5" s="58" t="inlineStr">
        <is>
          <t>sin commitear</t>
        </is>
      </c>
      <c r="G5" s="58" t="inlineStr">
        <is>
          <t>No</t>
        </is>
      </c>
      <c r="H5" s="58" t="n"/>
      <c r="J5" s="0" t="inlineStr">
        <is>
          <t>BodyCamServer</t>
        </is>
      </c>
      <c r="K5" s="58" t="inlineStr">
        <is>
          <t>BC-1, BC-2, BC-3, BC-4, BC-5, BC-6</t>
        </is>
      </c>
      <c r="L5" s="0">
        <f>SUMPRODUCT(($B$4:$B$40="BC")/COUNTIFS($A$4:$A$40,$A$4:$A$40&amp;"",$B$4:$B$40,$B$4:$B$40&amp;""))</f>
        <v/>
      </c>
      <c r="M5" s="0" t="n">
        <v>6860</v>
      </c>
      <c r="N5" s="0">
        <f>SUMIFS($D$4:$D$40,$B$4:$B$40,"BC",$G$4:$G$40,"&lt;&gt;Sí")</f>
        <v/>
      </c>
      <c r="O5" s="62">
        <f>N5*$K$9</f>
        <v/>
      </c>
    </row>
    <row r="6">
      <c r="A6" s="57" t="n">
        <v>46249</v>
      </c>
      <c r="B6" s="58" t="inlineStr">
        <is>
          <t>BC</t>
        </is>
      </c>
      <c r="C6" s="58" t="n"/>
      <c r="D6" s="58" t="n">
        <v>0</v>
      </c>
      <c r="E6" s="58" t="inlineStr">
        <is>
          <t>Alta del sistema de seguimiento de horas (cubre las dos apps)</t>
        </is>
      </c>
      <c r="F6" s="58" t="inlineStr">
        <is>
          <t>pendiente</t>
        </is>
      </c>
      <c r="G6" s="58" t="inlineStr">
        <is>
          <t>No</t>
        </is>
      </c>
      <c r="H6" s="58" t="n"/>
      <c r="J6" s="0" t="inlineStr">
        <is>
          <t>AeriaNexusPrototype</t>
        </is>
      </c>
      <c r="K6" s="58" t="inlineStr">
        <is>
          <t>AN-1</t>
        </is>
      </c>
      <c r="L6" s="0">
        <f>SUMPRODUCT(($B$4:$B$40="AN")/COUNTIFS($A$4:$A$40,$A$4:$A$40&amp;"",$B$4:$B$40,$B$4:$B$40&amp;""))</f>
        <v/>
      </c>
      <c r="M6" s="0" t="n">
        <v>799</v>
      </c>
      <c r="N6" s="0">
        <f>SUMIFS($D$4:$D$40,$B$4:$B$40,"AN",$G$4:$G$40,"&lt;&gt;Sí")</f>
        <v/>
      </c>
      <c r="O6" s="62">
        <f>N6*$K$9</f>
        <v/>
      </c>
    </row>
    <row r="7">
      <c r="A7" s="57" t="n">
        <v>46249</v>
      </c>
      <c r="B7" s="58" t="inlineStr">
        <is>
          <t>BC</t>
        </is>
      </c>
      <c r="C7" s="58" t="inlineStr">
        <is>
          <t>BC-3</t>
        </is>
      </c>
      <c r="D7" s="58" t="n">
        <v>1.5</v>
      </c>
      <c r="E7" s="58" t="inlineStr">
        <is>
          <t>Pantalla en reposo al grabar + cronometro en RecordingActivity. Compilado y desplegado en la unidad</t>
        </is>
      </c>
      <c r="F7" s="58" t="inlineStr">
        <is>
          <t>sin commitear</t>
        </is>
      </c>
      <c r="G7" s="58" t="inlineStr">
        <is>
          <t>No</t>
        </is>
      </c>
      <c r="H7" s="58" t="n"/>
      <c r="J7" s="43" t="inlineStr">
        <is>
          <t>TOTAL DEL MES</t>
        </is>
      </c>
      <c r="K7" s="0">
        <f>SUMPRODUCT(($C$4:$C$40&lt;&gt;"")/COUNTIF($C$4:$C$40,$C$4:$C$40&amp;""))</f>
        <v/>
      </c>
      <c r="L7" s="0">
        <f>SUMPRODUCT(($A$4:$A$40&lt;&gt;"")/COUNTIF($A$4:$A$40,$A$4:$A$40&amp;""))</f>
        <v/>
      </c>
      <c r="M7" s="43">
        <f>SUM(M5:M6)</f>
        <v/>
      </c>
      <c r="N7" s="43">
        <f>SUM(N5:N6)</f>
        <v/>
      </c>
      <c r="O7" s="63">
        <f>SUM(O5:O6)</f>
        <v/>
      </c>
    </row>
    <row r="8">
      <c r="A8" s="57" t="n">
        <v>46249</v>
      </c>
      <c r="B8" s="58" t="inlineStr">
        <is>
          <t>BC</t>
        </is>
      </c>
      <c r="C8" s="58" t="inlineStr">
        <is>
          <t>BC-2</t>
        </is>
      </c>
      <c r="D8" s="58" t="n">
        <v>3</v>
      </c>
      <c r="E8" s="58" t="inlineStr">
        <is>
          <t>Cifrado (medicion): CryptoBenchmark (SHA-256 + AES-256-GCM por bloques) CONTINUACION</t>
        </is>
      </c>
      <c r="F8" s="58" t="inlineStr">
        <is>
          <t>sin commitear</t>
        </is>
      </c>
      <c r="G8" s="58" t="inlineStr">
        <is>
          <t>No</t>
        </is>
      </c>
      <c r="H8" s="58" t="n"/>
    </row>
    <row r="9">
      <c r="A9" s="57" t="n">
        <v>46250</v>
      </c>
      <c r="B9" s="58" t="inlineStr">
        <is>
          <t>BC</t>
        </is>
      </c>
      <c r="C9" s="58" t="inlineStr">
        <is>
          <t>BC-1</t>
        </is>
      </c>
      <c r="D9" s="58" t="n">
        <v>2</v>
      </c>
      <c r="E9" s="58" t="inlineStr">
        <is>
          <t>Funcionalidad Subir a servidor yes/no, visualizacion de tiempo de grabacion</t>
        </is>
      </c>
      <c r="F9" s="58" t="inlineStr">
        <is>
          <t>sin commitear</t>
        </is>
      </c>
      <c r="G9" s="58" t="inlineStr">
        <is>
          <t>No</t>
        </is>
      </c>
      <c r="H9" s="58" t="n"/>
      <c r="J9" s="43" t="inlineStr">
        <is>
          <t>Tarifa (€/h)</t>
        </is>
      </c>
      <c r="K9" s="0" t="n">
        <v>20</v>
      </c>
    </row>
    <row r="10">
      <c r="A10" s="57" t="n">
        <v>46250</v>
      </c>
      <c r="B10" s="58" t="inlineStr">
        <is>
          <t>BC</t>
        </is>
      </c>
      <c r="C10" s="58" t="n"/>
      <c r="D10" s="58" t="n">
        <v>3</v>
      </c>
      <c r="E10" s="58" t="inlineStr">
        <is>
          <t>Reuniones semana del 17 agosto al 28</t>
        </is>
      </c>
      <c r="F10" s="58" t="n"/>
      <c r="G10" s="58" t="inlineStr">
        <is>
          <t>No</t>
        </is>
      </c>
      <c r="H10" s="58" t="n"/>
    </row>
    <row r="11">
      <c r="A11" s="57" t="n">
        <v>46257</v>
      </c>
      <c r="B11" s="58" t="inlineStr">
        <is>
          <t>BC</t>
        </is>
      </c>
      <c r="C11" s="58" t="n"/>
      <c r="D11" s="58" t="n">
        <v>0.5</v>
      </c>
      <c r="E11" s="58" t="inlineStr">
        <is>
          <t>Analisis del Security Feature List (34 features: 15 viables sin backend, 12 parciales, 7 bloqueadas), ruta de desarrollo hasta fin de septiembre y actualizacion del seguimiento</t>
        </is>
      </c>
      <c r="F11" s="58" t="inlineStr">
        <is>
          <t>db04e55</t>
        </is>
      </c>
      <c r="G11" s="58" t="inlineStr">
        <is>
          <t>No</t>
        </is>
      </c>
      <c r="H11" s="58" t="n"/>
    </row>
    <row r="12">
      <c r="A12" s="57" t="n">
        <v>46257</v>
      </c>
      <c r="B12" s="58" t="inlineStr">
        <is>
          <t>BC</t>
        </is>
      </c>
      <c r="C12" s="58" t="inlineStr">
        <is>
          <t>BC-4</t>
        </is>
      </c>
      <c r="D12" s="58" t="n">
        <v>2</v>
      </c>
      <c r="E12" s="58"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58" t="inlineStr">
        <is>
          <t>db04e55, a599da9</t>
        </is>
      </c>
      <c r="G12" s="58" t="inlineStr">
        <is>
          <t>No</t>
        </is>
      </c>
      <c r="H12" s="58" t="n"/>
    </row>
    <row r="13">
      <c r="A13" s="57" t="n">
        <v>46257</v>
      </c>
      <c r="B13" s="58" t="inlineStr">
        <is>
          <t>BC</t>
        </is>
      </c>
      <c r="C13" s="58" t="inlineStr">
        <is>
          <t>BC-1</t>
        </is>
      </c>
      <c r="D13" s="58" t="n">
        <v>1</v>
      </c>
      <c r="E13" s="58"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58" t="inlineStr">
        <is>
          <t>06008b2, 56d5478, 99b42a6, f2e7e52</t>
        </is>
      </c>
      <c r="G13" s="58" t="inlineStr">
        <is>
          <t>No</t>
        </is>
      </c>
      <c r="H13" s="58" t="n"/>
    </row>
    <row r="14">
      <c r="A14" s="57" t="n">
        <v>46257</v>
      </c>
      <c r="B14" s="58" t="inlineStr">
        <is>
          <t>BC</t>
        </is>
      </c>
      <c r="C14" s="58" t="inlineStr">
        <is>
          <t>BC-1</t>
        </is>
      </c>
      <c r="D14" s="58" t="n">
        <v>2</v>
      </c>
      <c r="E14" s="58"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58" t="inlineStr">
        <is>
          <t>671cab7, 48892dd, b00332f, 4373116, a25c0c7</t>
        </is>
      </c>
      <c r="G14" s="58" t="inlineStr">
        <is>
          <t>No</t>
        </is>
      </c>
      <c r="H14" s="58" t="n"/>
    </row>
    <row r="15">
      <c r="A15" s="57" t="n">
        <v>46259</v>
      </c>
      <c r="B15" s="58" t="inlineStr">
        <is>
          <t>BC</t>
        </is>
      </c>
      <c r="C15" s="58" t="inlineStr">
        <is>
          <t>BC-5</t>
        </is>
      </c>
      <c r="D15" s="58" t="n">
        <v>3</v>
      </c>
      <c r="E15" s="58"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58" t="inlineStr">
        <is>
          <t>81f0995</t>
        </is>
      </c>
      <c r="G15" s="58" t="inlineStr">
        <is>
          <t>No</t>
        </is>
      </c>
      <c r="H15" s="58" t="n"/>
    </row>
    <row r="16">
      <c r="A16" s="57" t="n">
        <v>46259</v>
      </c>
      <c r="B16" s="58" t="inlineStr">
        <is>
          <t>AN</t>
        </is>
      </c>
      <c r="C16" s="58" t="inlineStr">
        <is>
          <t>AN-1</t>
        </is>
      </c>
      <c r="D16" s="58" t="n">
        <v>3</v>
      </c>
      <c r="E16" s="58"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58" t="inlineStr">
        <is>
          <t>sin commitear</t>
        </is>
      </c>
      <c r="G16" s="58" t="inlineStr">
        <is>
          <t>No</t>
        </is>
      </c>
      <c r="H16" s="58" t="n"/>
    </row>
    <row r="17">
      <c r="A17" s="57" t="n">
        <v>46260</v>
      </c>
      <c r="B17" s="58" t="inlineStr">
        <is>
          <t>BC</t>
        </is>
      </c>
      <c r="C17" s="58" t="inlineStr">
        <is>
          <t>BC-6</t>
        </is>
      </c>
      <c r="D17" s="58" t="n">
        <v>4</v>
      </c>
      <c r="E17" s="58"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58" t="n"/>
      <c r="G17" s="58" t="n"/>
      <c r="H17" s="58" t="n"/>
    </row>
    <row r="18">
      <c r="A18" s="57" t="n">
        <v>46260</v>
      </c>
      <c r="B18" s="58" t="inlineStr">
        <is>
          <t>AN</t>
        </is>
      </c>
      <c r="C18" s="58" t="inlineStr">
        <is>
          <t>AN-1</t>
        </is>
      </c>
      <c r="D18" s="58" t="n">
        <v>3</v>
      </c>
      <c r="E18" s="58" t="inlineStr">
        <is>
          <t>Destinatario srv: del teléfono alineado con el de la unidad, y validado en hardware: cifra para los dos, el servidor lo abre, el hash de Room es el real</t>
        </is>
      </c>
      <c r="F18" s="58" t="n"/>
      <c r="G18" s="58" t="n"/>
      <c r="H18" s="58" t="n"/>
    </row>
    <row r="19">
      <c r="A19" s="57" t="n">
        <v>46260</v>
      </c>
      <c r="B19" s="58" t="inlineStr">
        <is>
          <t>AN</t>
        </is>
      </c>
      <c r="C19" s="58" t="inlineStr">
        <is>
          <t>AN-1</t>
        </is>
      </c>
      <c r="D19" s="58" t="n">
        <v>2</v>
      </c>
      <c r="E19" s="58" t="inlineStr">
        <is>
          <t>Subida por bloques portada al teléfono: data/upload/ completo, enganche en foto, vídeo y audio, reconciliación del estado  de sincronización. Validado: vídeo de 68 MB con corte y reanudación, más dos ficheros retomados solos al arrancar</t>
        </is>
      </c>
      <c r="F19" s="58" t="n"/>
      <c r="G19" s="58" t="n"/>
      <c r="H19" s="58" t="n"/>
    </row>
    <row r="20">
      <c r="A20" s="57" t="n">
        <v>46261</v>
      </c>
      <c r="B20" s="58" t="inlineStr">
        <is>
          <t>BC</t>
        </is>
      </c>
      <c r="C20" s="58" t="inlineStr">
        <is>
          <t>BC-1</t>
        </is>
      </c>
      <c r="D20" s="58" t="n">
        <v>1</v>
      </c>
      <c r="E20" s="58" t="inlineStr">
        <is>
          <t>Inventario de entrega a backend: revisión del contrato de subida, formato de cifrado y manifest.
Detectados 4 huecos (esquema del manifest.json sin documentar, falta juego de muestra, endpoint HTTPS + CA, rechazo
de kid dev-*)</t>
        </is>
      </c>
      <c r="F20" s="58" t="n"/>
      <c r="G20" s="58" t="n"/>
      <c r="H20" s="58" t="n"/>
    </row>
    <row r="21">
      <c r="A21" s="57" t="n">
        <v>46261</v>
      </c>
      <c r="B21" s="58" t="inlineStr">
        <is>
          <t>BC</t>
        </is>
      </c>
      <c r="C21" s="58" t="inlineStr">
        <is>
          <t>BC-1</t>
        </is>
      </c>
      <c r="D21" s="58" t="n">
        <v>1</v>
      </c>
      <c r="E21" s="58" t="inlineStr">
        <is>
          <t xml:space="preserve"> Firma de release: keystore único de proyecto (PKCS12, RSA 4096), signingConfig vía local.properties,
versión 1.2→1.3 (code 4), APK firmado y verificado (v2)</t>
        </is>
      </c>
      <c r="F21" s="58" t="n"/>
      <c r="G21" s="58" t="n"/>
      <c r="H21" s="58" t="n"/>
    </row>
    <row r="22">
      <c r="A22" s="57" t="n">
        <v>46261</v>
      </c>
      <c r="B22" s="58" t="inlineStr">
        <is>
          <t>AN</t>
        </is>
      </c>
      <c r="C22" s="58" t="inlineStr">
        <is>
          <t>AN-1</t>
        </is>
      </c>
      <c r="D22" s="58" t="n">
        <v>1</v>
      </c>
      <c r="E22" s="58" t="inlineStr">
        <is>
          <t xml:space="preserve"> Firma de release con el mismo keystore, versión 1.0→1.1 (code 2), APK firmado y verificado. R8 con minify</t>
        </is>
      </c>
      <c r="F22" s="58" t="n"/>
      <c r="G22" s="58" t="n"/>
      <c r="H22" s="58" t="n"/>
    </row>
    <row r="23">
      <c r="A23" s="57" t="n">
        <v>46263</v>
      </c>
      <c r="B23" s="58" t="inlineStr">
        <is>
          <t>AN</t>
        </is>
      </c>
      <c r="C23" s="58" t="inlineStr">
        <is>
          <t>AN-1</t>
        </is>
      </c>
      <c r="D23" s="58" t="n">
        <v>3</v>
      </c>
      <c r="E23" s="58" t="inlineStr">
        <is>
          <t xml:space="preserve"> Bóveda con contraseña: EvidenceVault, RSA + PBKDF2 + Keystore, destinatarios de clave.  Captura fuera de la galería: LocalEvidenceRepository sin MediaStore, borrado del claro. Pantalla Evidence Vault, VaultRepository, entrada desde Profile</t>
        </is>
      </c>
      <c r="F23" s="58" t="n"/>
      <c r="G23" s="58" t="n"/>
      <c r="H23" s="58" t="n"/>
    </row>
    <row r="24">
      <c r="A24" s="57" t="n">
        <v>46264</v>
      </c>
      <c r="B24" s="58" t="inlineStr">
        <is>
          <t>AN</t>
        </is>
      </c>
      <c r="C24" s="58" t="inlineStr">
        <is>
          <t>AN-1</t>
        </is>
      </c>
      <c r="D24" s="58" t="n">
        <v>2</v>
      </c>
      <c r="E24" s="58" t="inlineStr">
        <is>
          <t xml:space="preserve"> reproductor de audio dentro de la app , nota de audio enlazada al cerrar el incidente. Clasificación de la nota de audio + cierre encadenado; pruebas con adb</t>
        </is>
      </c>
      <c r="F24" s="58" t="n"/>
      <c r="G24" s="58" t="n"/>
      <c r="H24" s="58" t="n"/>
    </row>
    <row r="25">
      <c r="A25" s="57" t="n">
        <v>46264</v>
      </c>
      <c r="B25" s="58" t="inlineStr">
        <is>
          <t>BC</t>
        </is>
      </c>
      <c r="C25" s="58" t="inlineStr">
        <is>
          <t>BC-1</t>
        </is>
      </c>
      <c r="D25" s="58" t="n">
        <v>1</v>
      </c>
      <c r="E25" s="58" t="inlineStr">
        <is>
          <t>Avance documentacion</t>
        </is>
      </c>
      <c r="F25" s="58" t="n"/>
      <c r="G25" s="58" t="n"/>
      <c r="H25" s="58" t="n"/>
    </row>
    <row r="42">
      <c r="C42" s="43" t="inlineStr">
        <is>
          <t>TOTAL HORAS</t>
        </is>
      </c>
      <c r="D42" s="43">
        <f>SUM($D$4:$D$40)</f>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septiembre 2026</t>
        </is>
      </c>
    </row>
    <row r="4">
      <c r="A4" s="57" t="n">
        <v>46268</v>
      </c>
      <c r="B4" s="58" t="inlineStr">
        <is>
          <t>AN</t>
        </is>
      </c>
      <c r="C4" s="58" t="inlineStr">
        <is>
          <t>AN-2</t>
        </is>
      </c>
      <c r="D4" s="58" t="n">
        <v>4</v>
      </c>
      <c r="E4" s="58" t="inlineStr">
        <is>
          <t>IAM AeriaOne, analisis: lectura de los dos documentos de ciberseguridad (arquitectura de 16 secciones con requisitos IAM-01..20, y catalogo de 68 workflows), reparto de responsabilidad (47 tocan al APK o a la bodycam) y plan por fases con estimacion</t>
        </is>
      </c>
      <c r="F4" s="58" t="n"/>
      <c r="G4" s="58" t="inlineStr">
        <is>
          <t>No</t>
        </is>
      </c>
      <c r="H4" s="58" t="inlineStr">
        <is>
          <t>ESTIMADO - CONFIRMAR</t>
        </is>
      </c>
      <c r="J4" s="55" t="inlineStr">
        <is>
          <t>Aplicación</t>
        </is>
      </c>
      <c r="K4" s="55" t="inlineStr">
        <is>
          <t>Bloques</t>
        </is>
      </c>
      <c r="L4" s="55" t="inlineStr">
        <is>
          <t>Días activ.</t>
        </is>
      </c>
      <c r="M4" s="55" t="inlineStr">
        <is>
          <t>Líneas código</t>
        </is>
      </c>
      <c r="N4" s="55" t="inlineStr">
        <is>
          <t>Horas</t>
        </is>
      </c>
      <c r="O4" s="55" t="inlineStr">
        <is>
          <t>Importe</t>
        </is>
      </c>
    </row>
    <row r="5">
      <c r="A5" s="57" t="n">
        <v>46269</v>
      </c>
      <c r="B5" s="58" t="inlineStr">
        <is>
          <t>AN</t>
        </is>
      </c>
      <c r="C5" s="58" t="inlineStr">
        <is>
          <t>AN-2</t>
        </is>
      </c>
      <c r="D5" s="58" t="n">
        <v>1.5</v>
      </c>
      <c r="E5" s="58" t="inlineStr">
        <is>
          <t>Maquina de estados de confianza y pantalla de bloqueo: siete estados de arranque, TrustGate por delante de la navegacion, PIN de 6 digitos con limite de intentos y bloqueo escalonado. Verificado en el Redmi</t>
        </is>
      </c>
      <c r="F5" s="58" t="inlineStr">
        <is>
          <t>f52a7b4</t>
        </is>
      </c>
      <c r="G5" s="58" t="inlineStr">
        <is>
          <t>No</t>
        </is>
      </c>
      <c r="H5" s="58" t="inlineStr">
        <is>
          <t>reloj de sesion 10:25-12:31</t>
        </is>
      </c>
      <c r="J5" s="0" t="inlineStr">
        <is>
          <t>BodyCamServer</t>
        </is>
      </c>
      <c r="K5" s="58" t="inlineStr">
        <is>
          <t>BC-7, BC-8, BC-9</t>
        </is>
      </c>
      <c r="L5" s="0">
        <f>SUMPRODUCT(($B$4:$B$29="BC")/COUNTIFS($A$4:$A$29,$A$4:$A$29&amp;"",$B$4:$B$29,$B$4:$B$29&amp;""))</f>
        <v/>
      </c>
      <c r="M5" s="0" t="n">
        <v>3052</v>
      </c>
      <c r="N5" s="0">
        <f>SUMIFS($D$4:$D$29,$B$4:$B$29,"BC",$G$4:$G$29,"&lt;&gt;Sí")</f>
        <v/>
      </c>
      <c r="O5" s="62">
        <f>N5*$K$9</f>
        <v/>
      </c>
    </row>
    <row r="6">
      <c r="A6" s="57" t="n">
        <v>46269</v>
      </c>
      <c r="B6" s="58" t="inlineStr">
        <is>
          <t>AN</t>
        </is>
      </c>
      <c r="C6" s="58" t="inlineStr">
        <is>
          <t>AN-2</t>
        </is>
      </c>
      <c r="D6" s="58" t="n">
        <v>0.5</v>
      </c>
      <c r="E6" s="58" t="inlineStr">
        <is>
          <t>Workflow 12, alta del telefono: par EC P-256 dentro del TEE con cadena de atestacion, PKCS#10 escrito a mano (sin BouncyCastle, ~130 lineas), CSR validado con openssl y prueba de posesion. 7 pruebas JVM. Verificado en el Redmi</t>
        </is>
      </c>
      <c r="F6" s="58" t="inlineStr">
        <is>
          <t>57081f9</t>
        </is>
      </c>
      <c r="G6" s="58" t="inlineStr">
        <is>
          <t>No</t>
        </is>
      </c>
      <c r="H6" s="58" t="inlineStr">
        <is>
          <t>reloj de sesion 10:25-12:31</t>
        </is>
      </c>
      <c r="J6" s="0" t="inlineStr">
        <is>
          <t>AeriaNexusPrototype</t>
        </is>
      </c>
      <c r="K6" s="58" t="inlineStr">
        <is>
          <t>AN-2, AN-3, AN-4, AN-5, AN-6</t>
        </is>
      </c>
      <c r="L6" s="0">
        <f>SUMPRODUCT(($B$4:$B$29="AN")/COUNTIFS($A$4:$A$29,$A$4:$A$29&amp;"",$B$4:$B$29,$B$4:$B$29&amp;""))</f>
        <v/>
      </c>
      <c r="M6" s="0" t="n">
        <v>11633</v>
      </c>
      <c r="N6" s="0">
        <f>SUMIFS($D$4:$D$29,$B$4:$B$29,"AN",$G$4:$G$29,"&lt;&gt;Sí")</f>
        <v/>
      </c>
      <c r="O6" s="62">
        <f>N6*$K$9</f>
        <v/>
      </c>
    </row>
    <row r="7">
      <c r="A7" s="57" t="n">
        <v>46271</v>
      </c>
      <c r="B7" s="58" t="inlineStr">
        <is>
          <t>AN</t>
        </is>
      </c>
      <c r="C7" s="58" t="inlineStr">
        <is>
          <t>AN-2</t>
        </is>
      </c>
      <c r="D7" s="58" t="n">
        <v>0.7</v>
      </c>
      <c r="E7" s="58" t="inlineStr">
        <is>
          <t>Seguimiento propio de los 68 workflows: libro de 10 hojas cruzando el catalogo de ciberseguridad con el repositorio, con los 162 pasos de sus hojas de detalle marcados uno a uno</t>
        </is>
      </c>
      <c r="F7" s="58" t="n"/>
      <c r="G7" s="58" t="inlineStr">
        <is>
          <t>No</t>
        </is>
      </c>
      <c r="H7" s="58" t="inlineStr">
        <is>
          <t>reloj de sesion 16:19-20:42 (total medido; reparto por tarea estimado)</t>
        </is>
      </c>
      <c r="J7" s="43" t="inlineStr">
        <is>
          <t>TOTAL DEL MES</t>
        </is>
      </c>
      <c r="K7" s="0">
        <f>SUMPRODUCT(($C$4:$C$29&lt;&gt;"")/COUNTIF($C$4:$C$29,$C$4:$C$29&amp;""))</f>
        <v/>
      </c>
      <c r="L7" s="0">
        <f>SUMPRODUCT(($A$4:$A$29&lt;&gt;"")/COUNTIF($A$4:$A$29,$A$4:$A$29&amp;""))</f>
        <v/>
      </c>
      <c r="M7" s="43">
        <f>SUM(M5:M6)</f>
        <v/>
      </c>
      <c r="N7" s="43">
        <f>SUM(N5:N6)</f>
        <v/>
      </c>
      <c r="O7" s="63">
        <f>SUM(O5:O6)</f>
        <v/>
      </c>
    </row>
    <row r="8">
      <c r="A8" s="57" t="n">
        <v>46271</v>
      </c>
      <c r="B8" s="58" t="inlineStr">
        <is>
          <t>AN</t>
        </is>
      </c>
      <c r="C8" s="58" t="inlineStr">
        <is>
          <t>AN-2</t>
        </is>
      </c>
      <c r="D8" s="58" t="n">
        <v>0.7</v>
      </c>
      <c r="E8" s="58" t="inlineStr">
        <is>
          <t>Workflow 3, certificado del agente: segundo par de claves con alias propio (separado del telefono, regla de no equivalencia), CSR contrafirmado por el terminal y CA de usuario separada de la de dispositivos. 5 pruebas JVM. Verificado en el Redmi</t>
        </is>
      </c>
      <c r="F8" s="58" t="n"/>
      <c r="G8" s="58" t="inlineStr">
        <is>
          <t>No</t>
        </is>
      </c>
      <c r="H8" s="58" t="inlineStr">
        <is>
          <t>reloj de sesion 16:19-20:42 (total medido; reparto por tarea estimado)</t>
        </is>
      </c>
    </row>
    <row r="9">
      <c r="A9" s="57" t="n">
        <v>46271</v>
      </c>
      <c r="B9" s="58" t="inlineStr">
        <is>
          <t>AN</t>
        </is>
      </c>
      <c r="C9" s="58" t="inlineStr">
        <is>
          <t>AN-2</t>
        </is>
      </c>
      <c r="D9" s="58" t="n">
        <v>0.8</v>
      </c>
      <c r="E9" s="58"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58" t="n"/>
      <c r="G9" s="58" t="inlineStr">
        <is>
          <t>No</t>
        </is>
      </c>
      <c r="H9" s="58" t="inlineStr">
        <is>
          <t>reloj de sesion 16:19-20:42 (total medido; reparto por tarea estimado)</t>
        </is>
      </c>
      <c r="J9" s="43" t="inlineStr">
        <is>
          <t>Tarifa (€/h)</t>
        </is>
      </c>
      <c r="K9" s="0" t="n">
        <v>20</v>
      </c>
    </row>
    <row r="10">
      <c r="A10" s="57" t="n">
        <v>46271</v>
      </c>
      <c r="B10" s="58" t="inlineStr">
        <is>
          <t>AN</t>
        </is>
      </c>
      <c r="C10" s="58" t="inlineStr">
        <is>
          <t>AN-2</t>
        </is>
      </c>
      <c r="D10" s="58" t="n">
        <v>0.8</v>
      </c>
      <c r="E10" s="58"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58" t="n"/>
      <c r="G10" s="58" t="inlineStr">
        <is>
          <t>No</t>
        </is>
      </c>
      <c r="H10" s="58" t="inlineStr">
        <is>
          <t>reloj de sesion 16:19-20:42 (total medido; reparto por tarea estimado)</t>
        </is>
      </c>
    </row>
    <row r="11">
      <c r="A11" s="57" t="n">
        <v>46271</v>
      </c>
      <c r="B11" s="58" t="inlineStr">
        <is>
          <t>AN</t>
        </is>
      </c>
      <c r="C11" s="58" t="inlineStr">
        <is>
          <t>AN-3</t>
        </is>
      </c>
      <c r="D11" s="58" t="n">
        <v>0.6</v>
      </c>
      <c r="E11" s="58" t="inlineStr">
        <is>
          <t>Workflow 31 (lado telefono): emparejamiento autenticado mutuo con la bodycam sobre el canal RFCOMM, e indicador de enlace de confianza en la barra superior. 6 pruebas JVM con cuatro ataques. Verificado contra la W1</t>
        </is>
      </c>
      <c r="F11" s="58" t="n"/>
      <c r="G11" s="58" t="inlineStr">
        <is>
          <t>No</t>
        </is>
      </c>
      <c r="H11" s="58" t="inlineStr">
        <is>
          <t>reloj de sesion 16:19-20:42 (total medido; reparto por tarea estimado)</t>
        </is>
      </c>
    </row>
    <row r="12">
      <c r="A12" s="57" t="n">
        <v>46271</v>
      </c>
      <c r="B12" s="58" t="inlineStr">
        <is>
          <t>BC</t>
        </is>
      </c>
      <c r="C12" s="58" t="inlineStr">
        <is>
          <t>BC-7</t>
        </is>
      </c>
      <c r="D12" s="58" t="n">
        <v>0.6</v>
      </c>
      <c r="E12" s="58" t="inlineStr">
        <is>
          <t>Workflows 13 y 31 (lado bodycam): identidad EC propia de la W1 en su Keystore, CSR y certificado emitido por la misma CA de dispositivos que los telefonos, y su mitad del emparejamiento. Verificado en la W1</t>
        </is>
      </c>
      <c r="F12" s="58" t="n"/>
      <c r="G12" s="58" t="inlineStr">
        <is>
          <t>No</t>
        </is>
      </c>
      <c r="H12" s="58" t="inlineStr">
        <is>
          <t>reloj de sesion 16:19-20:42 (total medido; reparto por tarea estimado)</t>
        </is>
      </c>
    </row>
    <row r="13">
      <c r="A13" s="57" t="n">
        <v>46271</v>
      </c>
      <c r="B13" s="58" t="inlineStr">
        <is>
          <t>AN</t>
        </is>
      </c>
      <c r="C13" s="58" t="inlineStr">
        <is>
          <t>AN-3</t>
        </is>
      </c>
      <c r="D13" s="58" t="n">
        <v>0.1</v>
      </c>
      <c r="E13" s="58" t="inlineStr">
        <is>
          <t>Workflows 33 y 34 (lado telefono): atadura agente-camara firmada con la clave del agente, con caducidad y deshecha al cerrar sesion. ESCRITO Y COMPILA, SIN VERIFICAR EN DISPOSITIVO</t>
        </is>
      </c>
      <c r="F13" s="58" t="n"/>
      <c r="G13" s="58" t="inlineStr">
        <is>
          <t>No</t>
        </is>
      </c>
      <c r="H13" s="58" t="inlineStr">
        <is>
          <t>reloj de sesion 16:19-20:42 (total medido; reparto por tarea estimado)</t>
        </is>
      </c>
    </row>
    <row r="14">
      <c r="A14" s="57" t="n">
        <v>46271</v>
      </c>
      <c r="B14" s="58" t="inlineStr">
        <is>
          <t>BC</t>
        </is>
      </c>
      <c r="C14" s="58" t="inlineStr">
        <is>
          <t>BC-7</t>
        </is>
      </c>
      <c r="D14" s="58" t="n">
        <v>0.1</v>
      </c>
      <c r="E14" s="58" t="inlineStr">
        <is>
          <t>Workflows 33 y 34 (lado bodycam): validacion de la atadura contra la CA de usuario, atada al nonce de la sesion de emparejamiento. ESCRITO Y COMPILA, SIN VERIFICAR EN DISPOSITIVO</t>
        </is>
      </c>
      <c r="F14" s="58" t="n"/>
      <c r="G14" s="58" t="inlineStr">
        <is>
          <t>No</t>
        </is>
      </c>
      <c r="H14" s="58" t="inlineStr">
        <is>
          <t>reloj de sesion 16:19-20:42 (total medido; reparto por tarea estimado)</t>
        </is>
      </c>
    </row>
    <row r="15">
      <c r="A15" s="57" t="n">
        <v>46272</v>
      </c>
      <c r="B15" s="58" t="inlineStr">
        <is>
          <t>AN</t>
        </is>
      </c>
      <c r="C15" s="58" t="inlineStr">
        <is>
          <t>AN-5</t>
        </is>
      </c>
      <c r="D15" s="58" t="n">
        <v>3</v>
      </c>
      <c r="E15" s="58"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58" t="inlineStr">
        <is>
          <t>8b7111d</t>
        </is>
      </c>
      <c r="G15" s="58" t="inlineStr">
        <is>
          <t>No</t>
        </is>
      </c>
      <c r="H15" s="58" t="inlineStr">
        <is>
          <t>indicado por el usuario; marcas de fichero 21:05-23:02</t>
        </is>
      </c>
    </row>
    <row r="16">
      <c r="A16" s="57" t="n">
        <v>46273</v>
      </c>
      <c r="B16" s="58" t="inlineStr">
        <is>
          <t>BC</t>
        </is>
      </c>
      <c r="C16" s="58" t="inlineStr">
        <is>
          <t>BC-8</t>
        </is>
      </c>
      <c r="D16" s="58" t="n">
        <v>2.8</v>
      </c>
      <c r="E16" s="58"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58" t="inlineStr">
        <is>
          <t>sin commitear</t>
        </is>
      </c>
      <c r="G16" s="58" t="inlineStr">
        <is>
          <t>No</t>
        </is>
      </c>
      <c r="H16" s="58" t="inlineStr">
        <is>
          <t>marcas de fichero 12:33-16:39 (total medido; reparto por app estimado)</t>
        </is>
      </c>
    </row>
    <row r="17">
      <c r="A17" s="57" t="n">
        <v>46273</v>
      </c>
      <c r="B17" s="58" t="inlineStr">
        <is>
          <t>AN</t>
        </is>
      </c>
      <c r="C17" s="58" t="inlineStr">
        <is>
          <t>AN-4</t>
        </is>
      </c>
      <c r="D17" s="58" t="n">
        <v>1.5</v>
      </c>
      <c r="E17" s="58"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58" t="inlineStr">
        <is>
          <t>sin commitear</t>
        </is>
      </c>
      <c r="G17" s="58" t="inlineStr">
        <is>
          <t>No</t>
        </is>
      </c>
      <c r="H17" s="58" t="inlineStr">
        <is>
          <t>marcas de fichero 12:33-16:53 (total medido; reparto por app estimado)</t>
        </is>
      </c>
    </row>
    <row r="18">
      <c r="A18" s="57" t="n">
        <v>46273</v>
      </c>
      <c r="B18" s="58" t="inlineStr">
        <is>
          <t>AN</t>
        </is>
      </c>
      <c r="C18" s="58" t="inlineStr">
        <is>
          <t>AN-4</t>
        </is>
      </c>
      <c r="D18" s="58" t="n">
        <v>0.5</v>
      </c>
      <c r="E18" s="58"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58" t="inlineStr">
        <is>
          <t>sin commitear</t>
        </is>
      </c>
      <c r="G18" s="58" t="inlineStr">
        <is>
          <t>No</t>
        </is>
      </c>
      <c r="H18" s="58" t="inlineStr">
        <is>
          <t>marcas de fichero 17:40-18:10</t>
        </is>
      </c>
    </row>
    <row r="19">
      <c r="A19" s="57" t="n">
        <v>46274</v>
      </c>
      <c r="B19" s="58" t="inlineStr">
        <is>
          <t>BC</t>
        </is>
      </c>
      <c r="C19" s="58" t="inlineStr">
        <is>
          <t>BC-8</t>
        </is>
      </c>
      <c r="D19" s="58" t="n">
        <v>1.2</v>
      </c>
      <c r="E19" s="58"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58" t="inlineStr">
        <is>
          <t>c000b50</t>
        </is>
      </c>
      <c r="G19" s="58" t="inlineStr">
        <is>
          <t>No</t>
        </is>
      </c>
      <c r="H19" s="58" t="inlineStr">
        <is>
          <t>marcas de fichero 08:41-12:21 (total medido; reparto por tarea estimado)</t>
        </is>
      </c>
    </row>
    <row r="20">
      <c r="A20" s="57" t="n">
        <v>46274</v>
      </c>
      <c r="B20" s="58" t="inlineStr">
        <is>
          <t>AN</t>
        </is>
      </c>
      <c r="C20" s="58" t="inlineStr">
        <is>
          <t>AN-4</t>
        </is>
      </c>
      <c r="D20" s="58" t="n">
        <v>1</v>
      </c>
      <c r="E20" s="58"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58" t="inlineStr">
        <is>
          <t>5492a2c</t>
        </is>
      </c>
      <c r="G20" s="58" t="inlineStr">
        <is>
          <t>No</t>
        </is>
      </c>
      <c r="H20" s="58" t="inlineStr">
        <is>
          <t>marcas de fichero 08:41-12:21 (total medido; reparto por tarea estimado)</t>
        </is>
      </c>
    </row>
    <row r="21">
      <c r="A21" s="57" t="n">
        <v>46274</v>
      </c>
      <c r="B21" s="58" t="inlineStr">
        <is>
          <t>AN</t>
        </is>
      </c>
      <c r="C21" s="58" t="inlineStr">
        <is>
          <t>AN-4</t>
        </is>
      </c>
      <c r="D21" s="58" t="n">
        <v>1</v>
      </c>
      <c r="E21" s="58"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58" t="inlineStr">
        <is>
          <t>5492a2c</t>
        </is>
      </c>
      <c r="G21" s="58" t="inlineStr">
        <is>
          <t>No</t>
        </is>
      </c>
      <c r="H21" s="58" t="inlineStr">
        <is>
          <t>marcas de fichero 08:41-12:21 (total medido; reparto por tarea estimado)</t>
        </is>
      </c>
    </row>
    <row r="22" s="38">
      <c r="A22" s="57" t="n">
        <v>46274</v>
      </c>
      <c r="B22" s="58" t="inlineStr">
        <is>
          <t>AN</t>
        </is>
      </c>
      <c r="C22" s="58" t="inlineStr">
        <is>
          <t>AN-5</t>
        </is>
      </c>
      <c r="D22" s="58" t="n">
        <v>0.5</v>
      </c>
      <c r="E22" s="58"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58" t="inlineStr">
        <is>
          <t>sin commitear</t>
        </is>
      </c>
      <c r="G22" s="58" t="inlineStr">
        <is>
          <t>No</t>
        </is>
      </c>
      <c r="H22" s="58" t="inlineStr">
        <is>
          <t>marcas de fichero 08:41-12:21 (total medido; reparto por tarea estimado)</t>
        </is>
      </c>
    </row>
    <row r="23">
      <c r="A23" s="57" t="n">
        <v>46274</v>
      </c>
      <c r="B23" s="58" t="inlineStr">
        <is>
          <t>BC</t>
        </is>
      </c>
      <c r="C23" s="58" t="n"/>
      <c r="D23" s="58" t="n">
        <v>1</v>
      </c>
      <c r="E23" s="58" t="inlineStr">
        <is>
          <t>Reunion</t>
        </is>
      </c>
      <c r="F23" s="58" t="n"/>
      <c r="G23" s="58" t="inlineStr">
        <is>
          <t>No</t>
        </is>
      </c>
      <c r="H23" s="58" t="inlineStr">
        <is>
          <t>indicado por el usuario</t>
        </is>
      </c>
    </row>
    <row r="24" s="38">
      <c r="A24" s="57" t="n">
        <v>46274</v>
      </c>
      <c r="B24" s="58" t="inlineStr">
        <is>
          <t>AN</t>
        </is>
      </c>
      <c r="C24" s="58" t="inlineStr">
        <is>
          <t>AN-5</t>
        </is>
      </c>
      <c r="D24" s="58" t="n">
        <v>1.3</v>
      </c>
      <c r="E24" s="58"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4" s="58" t="inlineStr">
        <is>
          <t>sin commitear</t>
        </is>
      </c>
      <c r="G24" s="58" t="inlineStr">
        <is>
          <t>No</t>
        </is>
      </c>
      <c r="H24" s="58" t="inlineStr">
        <is>
          <t>reloj de sesion 21:05-22:25</t>
        </is>
      </c>
    </row>
    <row r="25">
      <c r="A25" s="57" t="n">
        <v>46276</v>
      </c>
      <c r="B25" s="58" t="inlineStr">
        <is>
          <t>AN</t>
        </is>
      </c>
      <c r="C25" s="58" t="inlineStr">
        <is>
          <t>AN-6</t>
        </is>
      </c>
      <c r="D25" s="58" t="n">
        <v>1.8</v>
      </c>
      <c r="E25" s="58"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5" s="58" t="inlineStr">
        <is>
          <t>sin commitear</t>
        </is>
      </c>
      <c r="G25" s="58" t="inlineStr">
        <is>
          <t>No</t>
        </is>
      </c>
      <c r="H25" s="58" t="inlineStr">
        <is>
          <t>reloj de sesion 14:26-16:30 (2,1 h medidas), redondeado al alza a 3 h por indicacion del usuario; reparto por app estimado</t>
        </is>
      </c>
    </row>
    <row r="26" s="38">
      <c r="A26" s="57" t="n">
        <v>46276</v>
      </c>
      <c r="B26" s="58" t="inlineStr">
        <is>
          <t>BC</t>
        </is>
      </c>
      <c r="C26" s="58" t="inlineStr">
        <is>
          <t>BC-9</t>
        </is>
      </c>
      <c r="D26" s="58" t="n">
        <v>1.2</v>
      </c>
      <c r="E26" s="58"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6" s="58" t="inlineStr">
        <is>
          <t>sin commitear</t>
        </is>
      </c>
      <c r="G26" s="58" t="inlineStr">
        <is>
          <t>No</t>
        </is>
      </c>
      <c r="H26" s="58" t="inlineStr">
        <is>
          <t>reloj de sesion 14:26-16:30 (2,1 h medidas), redondeado al alza a 3 h por indicacion del usuario; reparto por app estimado</t>
        </is>
      </c>
    </row>
    <row r="27" s="38">
      <c r="A27" s="57" t="n">
        <v>46277</v>
      </c>
      <c r="B27" s="58" t="inlineStr">
        <is>
          <t>AN</t>
        </is>
      </c>
      <c r="C27" s="58" t="inlineStr">
        <is>
          <t>AN-5</t>
        </is>
      </c>
      <c r="D27" s="58" t="n">
        <v>3</v>
      </c>
      <c r="E27" s="58"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7" s="58" t="inlineStr">
        <is>
          <t>sin commitear</t>
        </is>
      </c>
      <c r="G27" s="58" t="inlineStr">
        <is>
          <t>No</t>
        </is>
      </c>
      <c r="H27" s="58" t="inlineStr">
        <is>
          <t>indicado por el usuario</t>
        </is>
      </c>
    </row>
    <row r="31">
      <c r="C31" s="43" t="inlineStr">
        <is>
          <t>TOTAL HORAS</t>
        </is>
      </c>
      <c r="D31" s="43">
        <f>SUM($D$4:$D$29)</f>
        <v/>
      </c>
    </row>
    <row r="33" ht="58" customHeight="1" s="38">
      <c r="A33" s="61"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t>
        </is>
      </c>
    </row>
  </sheetData>
  <mergeCells count="3">
    <mergeCell ref="A33:H33"/>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2026-09-12T11:27:31Z</dcterms:modified>
</cp:coreProperties>
</file>