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0.00 €"/>
  </numFmts>
  <fonts count="9">
    <font>
      <name val="Arial"/>
      <color rgb="FF000000"/>
      <sz val="10"/>
      <scheme val="minor"/>
    </font>
    <font>
      <name val="Calibri"/>
      <b val="1"/>
      <color rgb="FF1F3864"/>
      <sz val="12"/>
    </font>
    <font>
      <name val="Arial"/>
      <color rgb="FF000000"/>
      <sz val="10"/>
    </font>
    <font>
      <name val="Calibri"/>
      <i val="1"/>
      <color theme="1"/>
      <sz val="9"/>
    </font>
    <font>
      <name val="Calibri"/>
      <b val="1"/>
      <color rgb="FFFFFFFF"/>
      <sz val="10"/>
    </font>
    <font>
      <name val="Calibri"/>
      <b val="1"/>
      <color rgb="FF1F3864"/>
      <sz val="11"/>
    </font>
    <font>
      <name val="Arial"/>
      <color theme="1"/>
      <scheme val="minor"/>
    </font>
    <font>
      <name val="Arial"/>
      <b val="1"/>
      <color theme="1"/>
      <scheme val="minor"/>
    </font>
    <font>
      <name val="Arial"/>
      <strike val="1"/>
      <color rgb="FF000000"/>
      <sz val="10"/>
    </font>
  </fonts>
  <fills count="4">
    <fill>
      <patternFill/>
    </fill>
    <fill>
      <patternFill patternType="lightGray"/>
    </fill>
    <fill>
      <patternFill patternType="solid">
        <fgColor rgb="FF1F3864"/>
        <bgColor rgb="FF1F3864"/>
      </patternFill>
    </fill>
    <fill>
      <patternFill patternType="solid">
        <fgColor rgb="FFFFF2CC"/>
        <bgColor rgb="FFFFF2CC"/>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5" fillId="0" borderId="0" pivotButton="0" quotePrefix="0" xfId="0"/>
    <xf numFmtId="164" fontId="2" fillId="0" borderId="0" applyAlignment="1" pivotButton="0" quotePrefix="0" xfId="0">
      <alignment vertical="top" wrapText="1"/>
    </xf>
    <xf numFmtId="0" fontId="2" fillId="0" borderId="0" applyAlignment="1" pivotButton="0" quotePrefix="0" xfId="0">
      <alignment vertical="top" wrapText="1"/>
    </xf>
    <xf numFmtId="0" fontId="6" fillId="0" borderId="0" pivotButton="0" quotePrefix="0" xfId="0"/>
    <xf numFmtId="165" fontId="2"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0" fontId="6" fillId="0" borderId="0" pivotButton="0" quotePrefix="0" xfId="0"/>
    <xf numFmtId="0" fontId="3" fillId="3" borderId="0" applyAlignment="1" pivotButton="0" quotePrefix="0" xfId="0">
      <alignment vertical="top" wrapText="1"/>
    </xf>
    <xf numFmtId="0" fontId="0" fillId="0" borderId="0" pivotButton="0" quotePrefix="0" xfId="0"/>
    <xf numFmtId="164" fontId="8" fillId="0" borderId="0" applyAlignment="1" pivotButton="0" quotePrefix="0" xfId="0">
      <alignment vertical="top" wrapText="1"/>
    </xf>
    <xf numFmtId="0" fontId="8"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agosto 2026</t>
        </is>
      </c>
      <c r="K3" s="2" t="n"/>
      <c r="L3" s="2" t="n"/>
      <c r="M3" s="2" t="n"/>
      <c r="N3" s="2" t="n"/>
      <c r="O3" s="2" t="n"/>
    </row>
    <row r="4">
      <c r="A4" s="6" t="n">
        <v>46243</v>
      </c>
      <c r="B4" s="11" t="inlineStr">
        <is>
          <t>BC</t>
        </is>
      </c>
      <c r="C4" s="11" t="inlineStr">
        <is>
          <t>BC-1</t>
        </is>
      </c>
      <c r="D4" s="11" t="n">
        <v>6</v>
      </c>
      <c r="E4" s="11" t="inlineStr">
        <is>
          <t>Grabación continua: EvidenceStore (buffer en anillo, pre-roll 120 s, segmentos 8 MB), reescritura de RecordingActivity, retirada de CameraController</t>
        </is>
      </c>
      <c r="F4" s="11" t="inlineStr">
        <is>
          <t>d4a4709</t>
        </is>
      </c>
      <c r="G4" s="11" t="inlineStr">
        <is>
          <t>No</t>
        </is>
      </c>
      <c r="H4" s="11" t="n"/>
      <c r="J4" s="4" t="inlineStr">
        <is>
          <t>Aplicación</t>
        </is>
      </c>
      <c r="K4" s="4" t="inlineStr">
        <is>
          <t>Bloques</t>
        </is>
      </c>
      <c r="L4" s="4" t="inlineStr">
        <is>
          <t>Días activ.</t>
        </is>
      </c>
      <c r="M4" s="4" t="inlineStr">
        <is>
          <t>Líneas código</t>
        </is>
      </c>
      <c r="N4" s="4" t="inlineStr">
        <is>
          <t>Horas</t>
        </is>
      </c>
      <c r="O4" s="4" t="inlineStr">
        <is>
          <t>Importe</t>
        </is>
      </c>
    </row>
    <row r="5">
      <c r="A5" s="6" t="n">
        <v>46248</v>
      </c>
      <c r="B5" s="11" t="inlineStr">
        <is>
          <t>BC</t>
        </is>
      </c>
      <c r="C5" s="11" t="inlineStr">
        <is>
          <t>BC-2</t>
        </is>
      </c>
      <c r="D5" s="11" t="n">
        <v>6</v>
      </c>
      <c r="E5" s="11" t="inlineStr">
        <is>
          <t>Cifrado (medicion): CryptoBenchmark (SHA-256 + AES-256-GCM por bloques), RecorderWatch (watchdog de grabaciones largas), endpoint /benchmark, fix de path traversal, 2 scripts Python, testing con videos reales</t>
        </is>
      </c>
      <c r="F5" s="11" t="inlineStr">
        <is>
          <t>sin commitear</t>
        </is>
      </c>
      <c r="G5" s="11" t="inlineStr">
        <is>
          <t>No</t>
        </is>
      </c>
      <c r="H5" s="11" t="n"/>
      <c r="J5" s="13" t="inlineStr">
        <is>
          <t>BodyCamServer</t>
        </is>
      </c>
      <c r="K5" s="11" t="inlineStr">
        <is>
          <t>BC-1, BC-2, BC-3, BC-4, BC-5, BC-6</t>
        </is>
      </c>
      <c r="L5" s="13">
        <f>SUMPRODUCT(($B$4:$B$40="BC")/COUNTIFS($A$4:$A$40,$A$4:$A$40&amp;"",$B$4:$B$40,$B$4:$B$40&amp;""))</f>
        <v/>
      </c>
      <c r="M5" s="13" t="n">
        <v>6860</v>
      </c>
      <c r="N5" s="13">
        <f>SUMIFS($D$4:$D$40,$B$4:$B$40,"BC",$G$4:$G$40,"&lt;&gt;Sí")</f>
        <v/>
      </c>
      <c r="O5" s="9">
        <f>N5*$K$9</f>
        <v/>
      </c>
    </row>
    <row r="6">
      <c r="A6" s="6" t="n">
        <v>46249</v>
      </c>
      <c r="B6" s="11" t="inlineStr">
        <is>
          <t>BC</t>
        </is>
      </c>
      <c r="C6" s="11" t="n"/>
      <c r="D6" s="11" t="n">
        <v>0</v>
      </c>
      <c r="E6" s="11" t="inlineStr">
        <is>
          <t>Alta del sistema de seguimiento de horas (cubre las dos apps)</t>
        </is>
      </c>
      <c r="F6" s="11" t="inlineStr">
        <is>
          <t>pendiente</t>
        </is>
      </c>
      <c r="G6" s="11" t="inlineStr">
        <is>
          <t>No</t>
        </is>
      </c>
      <c r="H6" s="11" t="n"/>
      <c r="J6" s="13" t="inlineStr">
        <is>
          <t>AeriaNexusPrototype</t>
        </is>
      </c>
      <c r="K6" s="11" t="inlineStr">
        <is>
          <t>AN-1</t>
        </is>
      </c>
      <c r="L6" s="13">
        <f>SUMPRODUCT(($B$4:$B$40="AN")/COUNTIFS($A$4:$A$40,$A$4:$A$40&amp;"",$B$4:$B$40,$B$4:$B$40&amp;""))</f>
        <v/>
      </c>
      <c r="M6" s="13" t="n">
        <v>799</v>
      </c>
      <c r="N6" s="13">
        <f>SUMIFS($D$4:$D$40,$B$4:$B$40,"AN",$G$4:$G$40,"&lt;&gt;Sí")</f>
        <v/>
      </c>
      <c r="O6" s="9">
        <f>N6*$K$9</f>
        <v/>
      </c>
    </row>
    <row r="7">
      <c r="A7" s="6" t="n">
        <v>46249</v>
      </c>
      <c r="B7" s="11" t="inlineStr">
        <is>
          <t>BC</t>
        </is>
      </c>
      <c r="C7" s="11" t="inlineStr">
        <is>
          <t>BC-3</t>
        </is>
      </c>
      <c r="D7" s="11" t="n">
        <v>1.5</v>
      </c>
      <c r="E7" s="11" t="inlineStr">
        <is>
          <t>Pantalla en reposo al grabar + cronometro en RecordingActivity. Compilado y desplegado en la unidad</t>
        </is>
      </c>
      <c r="F7" s="11" t="inlineStr">
        <is>
          <t>sin commitear</t>
        </is>
      </c>
      <c r="G7" s="11" t="inlineStr">
        <is>
          <t>No</t>
        </is>
      </c>
      <c r="H7" s="11" t="n"/>
      <c r="J7" s="10" t="inlineStr">
        <is>
          <t>TOTAL DEL MES</t>
        </is>
      </c>
      <c r="K7" s="13">
        <f>SUMPRODUCT(($C$4:$C$40&lt;&gt;"")/COUNTIF($C$4:$C$40,$C$4:$C$40&amp;""))</f>
        <v/>
      </c>
      <c r="L7" s="13">
        <f>SUMPRODUCT(($A$4:$A$40&lt;&gt;"")/COUNTIF($A$4:$A$40,$A$4:$A$40&amp;""))</f>
        <v/>
      </c>
      <c r="M7" s="10">
        <f>SUM(M5:M6)</f>
        <v/>
      </c>
      <c r="N7" s="10">
        <f>SUM(N5:N6)</f>
        <v/>
      </c>
      <c r="O7" s="12">
        <f>SUM(O5:O6)</f>
        <v/>
      </c>
    </row>
    <row r="8">
      <c r="A8" s="6" t="n">
        <v>46249</v>
      </c>
      <c r="B8" s="11" t="inlineStr">
        <is>
          <t>BC</t>
        </is>
      </c>
      <c r="C8" s="11" t="inlineStr">
        <is>
          <t>BC-2</t>
        </is>
      </c>
      <c r="D8" s="11" t="n">
        <v>3</v>
      </c>
      <c r="E8" s="11" t="inlineStr">
        <is>
          <t>Cifrado (medicion): CryptoBenchmark (SHA-256 + AES-256-GCM por bloques) CONTINUACION</t>
        </is>
      </c>
      <c r="F8" s="11" t="inlineStr">
        <is>
          <t>sin commitear</t>
        </is>
      </c>
      <c r="G8" s="11" t="inlineStr">
        <is>
          <t>No</t>
        </is>
      </c>
      <c r="H8" s="11" t="n"/>
      <c r="J8" s="2" t="n"/>
      <c r="K8" s="2" t="n"/>
      <c r="L8" s="2" t="n"/>
      <c r="M8" s="2" t="n"/>
      <c r="N8" s="2" t="n"/>
      <c r="O8" s="2" t="n"/>
    </row>
    <row r="9">
      <c r="A9" s="6" t="n">
        <v>46250</v>
      </c>
      <c r="B9" s="11" t="inlineStr">
        <is>
          <t>BC</t>
        </is>
      </c>
      <c r="C9" s="11" t="inlineStr">
        <is>
          <t>BC-1</t>
        </is>
      </c>
      <c r="D9" s="11" t="n">
        <v>2</v>
      </c>
      <c r="E9" s="11" t="inlineStr">
        <is>
          <t>Funcionalidad Subir a servidor yes/no, visualizacion de tiempo de grabacion</t>
        </is>
      </c>
      <c r="F9" s="11" t="inlineStr">
        <is>
          <t>sin commitear</t>
        </is>
      </c>
      <c r="G9" s="11" t="inlineStr">
        <is>
          <t>No</t>
        </is>
      </c>
      <c r="H9" s="11" t="n"/>
      <c r="J9" s="10" t="inlineStr">
        <is>
          <t>Tarifa (€/h)</t>
        </is>
      </c>
      <c r="K9" s="13" t="n">
        <v>20</v>
      </c>
      <c r="L9" s="2" t="n"/>
      <c r="M9" s="2" t="n"/>
      <c r="N9" s="2" t="n"/>
      <c r="O9" s="2" t="n"/>
    </row>
    <row r="10">
      <c r="A10" s="6" t="n">
        <v>46250</v>
      </c>
      <c r="B10" s="11" t="inlineStr">
        <is>
          <t>BC</t>
        </is>
      </c>
      <c r="C10" s="11" t="n"/>
      <c r="D10" s="11" t="n">
        <v>3</v>
      </c>
      <c r="E10" s="11" t="inlineStr">
        <is>
          <t>Reuniones semana del 17 agosto al 28</t>
        </is>
      </c>
      <c r="F10" s="11" t="n"/>
      <c r="G10" s="11" t="inlineStr">
        <is>
          <t>No</t>
        </is>
      </c>
      <c r="H10" s="11" t="n"/>
      <c r="J10" s="2" t="n"/>
      <c r="K10" s="2" t="n"/>
      <c r="L10" s="2" t="n"/>
      <c r="M10" s="2" t="n"/>
      <c r="N10" s="2" t="n"/>
      <c r="O10" s="2" t="n"/>
    </row>
    <row r="11">
      <c r="A11" s="6" t="n">
        <v>46257</v>
      </c>
      <c r="B11" s="11" t="inlineStr">
        <is>
          <t>BC</t>
        </is>
      </c>
      <c r="C11" s="11" t="n"/>
      <c r="D11" s="11" t="n">
        <v>0.5</v>
      </c>
      <c r="E11" s="11" t="inlineStr">
        <is>
          <t>Analisis del Security Feature List (34 features: 15 viables sin backend, 12 parciales, 7 bloqueadas), ruta de desarrollo hasta fin de septiembre y actualizacion del seguimiento</t>
        </is>
      </c>
      <c r="F11" s="11" t="inlineStr">
        <is>
          <t>db04e55</t>
        </is>
      </c>
      <c r="G11" s="11" t="inlineStr">
        <is>
          <t>No</t>
        </is>
      </c>
      <c r="H11" s="11" t="n"/>
      <c r="J11" s="2" t="n"/>
      <c r="K11" s="2" t="n"/>
      <c r="L11" s="2" t="n"/>
      <c r="M11" s="2" t="n"/>
      <c r="N11" s="2" t="n"/>
      <c r="O11" s="2" t="n"/>
    </row>
    <row r="12">
      <c r="A12" s="6" t="n">
        <v>46257</v>
      </c>
      <c r="B12" s="11" t="inlineStr">
        <is>
          <t>BC</t>
        </is>
      </c>
      <c r="C12" s="11" t="inlineStr">
        <is>
          <t>BC-4</t>
        </is>
      </c>
      <c r="D12" s="11" t="n">
        <v>2</v>
      </c>
      <c r="E12" s="11"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11" t="inlineStr">
        <is>
          <t>db04e55, a599da9</t>
        </is>
      </c>
      <c r="G12" s="11" t="inlineStr">
        <is>
          <t>No</t>
        </is>
      </c>
      <c r="H12" s="11" t="n"/>
      <c r="J12" s="2" t="n"/>
      <c r="K12" s="2" t="n"/>
      <c r="L12" s="2" t="n"/>
      <c r="M12" s="2" t="n"/>
      <c r="N12" s="2" t="n"/>
      <c r="O12" s="2" t="n"/>
    </row>
    <row r="13">
      <c r="A13" s="6" t="n">
        <v>46257</v>
      </c>
      <c r="B13" s="11" t="inlineStr">
        <is>
          <t>BC</t>
        </is>
      </c>
      <c r="C13" s="11" t="inlineStr">
        <is>
          <t>BC-1</t>
        </is>
      </c>
      <c r="D13" s="11" t="n">
        <v>1</v>
      </c>
      <c r="E13" s="11"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11" t="inlineStr">
        <is>
          <t>06008b2, 56d5478, 99b42a6, f2e7e52</t>
        </is>
      </c>
      <c r="G13" s="11" t="inlineStr">
        <is>
          <t>No</t>
        </is>
      </c>
      <c r="H13" s="11" t="n"/>
      <c r="J13" s="2" t="n"/>
      <c r="K13" s="2" t="n"/>
      <c r="L13" s="2" t="n"/>
      <c r="M13" s="2" t="n"/>
      <c r="N13" s="2" t="n"/>
      <c r="O13" s="2" t="n"/>
    </row>
    <row r="14">
      <c r="A14" s="6" t="n">
        <v>46257</v>
      </c>
      <c r="B14" s="11" t="inlineStr">
        <is>
          <t>BC</t>
        </is>
      </c>
      <c r="C14" s="11" t="inlineStr">
        <is>
          <t>BC-1</t>
        </is>
      </c>
      <c r="D14" s="11" t="n">
        <v>2</v>
      </c>
      <c r="E14" s="11"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11" t="inlineStr">
        <is>
          <t>671cab7, 48892dd, b00332f, 4373116, a25c0c7</t>
        </is>
      </c>
      <c r="G14" s="11" t="inlineStr">
        <is>
          <t>No</t>
        </is>
      </c>
      <c r="H14" s="11" t="n"/>
      <c r="J14" s="2" t="n"/>
      <c r="K14" s="2" t="n"/>
      <c r="L14" s="2" t="n"/>
      <c r="M14" s="2" t="n"/>
      <c r="N14" s="2" t="n"/>
      <c r="O14" s="2" t="n"/>
    </row>
    <row r="15">
      <c r="A15" s="6" t="n">
        <v>46259</v>
      </c>
      <c r="B15" s="11" t="inlineStr">
        <is>
          <t>BC</t>
        </is>
      </c>
      <c r="C15" s="11" t="inlineStr">
        <is>
          <t>BC-5</t>
        </is>
      </c>
      <c r="D15" s="11" t="n">
        <v>3</v>
      </c>
      <c r="E15" s="11"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11" t="inlineStr">
        <is>
          <t>81f0995</t>
        </is>
      </c>
      <c r="G15" s="11" t="inlineStr">
        <is>
          <t>No</t>
        </is>
      </c>
      <c r="H15" s="11" t="n"/>
      <c r="J15" s="2" t="n"/>
      <c r="K15" s="2" t="n"/>
      <c r="L15" s="2" t="n"/>
      <c r="M15" s="2" t="n"/>
      <c r="N15" s="2" t="n"/>
      <c r="O15" s="2" t="n"/>
    </row>
    <row r="16">
      <c r="A16" s="6" t="n">
        <v>46259</v>
      </c>
      <c r="B16" s="11" t="inlineStr">
        <is>
          <t>AN</t>
        </is>
      </c>
      <c r="C16" s="11" t="inlineStr">
        <is>
          <t>AN-1</t>
        </is>
      </c>
      <c r="D16" s="11" t="n">
        <v>3</v>
      </c>
      <c r="E16" s="11"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11" t="inlineStr">
        <is>
          <t>sin commitear</t>
        </is>
      </c>
      <c r="G16" s="11" t="inlineStr">
        <is>
          <t>No</t>
        </is>
      </c>
      <c r="H16" s="11" t="n"/>
      <c r="J16" s="2" t="n"/>
      <c r="K16" s="2" t="n"/>
      <c r="L16" s="2" t="n"/>
      <c r="M16" s="2" t="n"/>
      <c r="N16" s="2" t="n"/>
      <c r="O16" s="2" t="n"/>
    </row>
    <row r="17">
      <c r="A17" s="6" t="n">
        <v>46260</v>
      </c>
      <c r="B17" s="11" t="inlineStr">
        <is>
          <t>BC</t>
        </is>
      </c>
      <c r="C17" s="11" t="inlineStr">
        <is>
          <t>BC-6</t>
        </is>
      </c>
      <c r="D17" s="11" t="n">
        <v>4</v>
      </c>
      <c r="E17" s="11"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11" t="n"/>
      <c r="G17" s="11" t="n"/>
      <c r="H17" s="11" t="n"/>
      <c r="J17" s="2" t="n"/>
      <c r="K17" s="2" t="n"/>
      <c r="L17" s="2" t="n"/>
      <c r="M17" s="2" t="n"/>
      <c r="N17" s="2" t="n"/>
      <c r="O17" s="2" t="n"/>
    </row>
    <row r="18">
      <c r="A18" s="6" t="n">
        <v>46260</v>
      </c>
      <c r="B18" s="11" t="inlineStr">
        <is>
          <t>AN</t>
        </is>
      </c>
      <c r="C18" s="11" t="inlineStr">
        <is>
          <t>AN-1</t>
        </is>
      </c>
      <c r="D18" s="11" t="n">
        <v>3</v>
      </c>
      <c r="E18" s="11" t="inlineStr">
        <is>
          <t>Destinatario srv: del teléfono alineado con el de la unidad, y validado en hardware: cifra para los dos, el servidor lo abre, el hash de Room es el real</t>
        </is>
      </c>
      <c r="F18" s="11" t="n"/>
      <c r="G18" s="11" t="n"/>
      <c r="H18" s="11" t="n"/>
      <c r="J18" s="2" t="n"/>
      <c r="K18" s="2" t="n"/>
      <c r="L18" s="2" t="n"/>
      <c r="M18" s="2" t="n"/>
      <c r="N18" s="2" t="n"/>
      <c r="O18" s="2" t="n"/>
    </row>
    <row r="19">
      <c r="A19" s="6" t="n">
        <v>46260</v>
      </c>
      <c r="B19" s="11" t="inlineStr">
        <is>
          <t>AN</t>
        </is>
      </c>
      <c r="C19" s="11" t="inlineStr">
        <is>
          <t>AN-1</t>
        </is>
      </c>
      <c r="D19" s="11" t="n">
        <v>2</v>
      </c>
      <c r="E19" s="11" t="inlineStr">
        <is>
          <t>Subida por bloques portada al teléfono: data/upload/ completo, enganche en foto, vídeo y audio, reconciliación del estado  de sincronización. Validado: vídeo de 68 MB con corte y reanudación, más dos ficheros retomados solos al arrancar</t>
        </is>
      </c>
      <c r="F19" s="11" t="n"/>
      <c r="G19" s="11" t="n"/>
      <c r="H19" s="11" t="n"/>
      <c r="J19" s="2" t="n"/>
      <c r="K19" s="2" t="n"/>
      <c r="L19" s="2" t="n"/>
      <c r="M19" s="2" t="n"/>
      <c r="N19" s="2" t="n"/>
      <c r="O19" s="2" t="n"/>
    </row>
    <row r="20">
      <c r="A20" s="6" t="n">
        <v>46261</v>
      </c>
      <c r="B20" s="11" t="inlineStr">
        <is>
          <t>BC</t>
        </is>
      </c>
      <c r="C20" s="11" t="inlineStr">
        <is>
          <t>BC-1</t>
        </is>
      </c>
      <c r="D20" s="11" t="n">
        <v>1</v>
      </c>
      <c r="E20" s="11" t="inlineStr">
        <is>
          <t>Inventario de entrega a backend: revisión del contrato de subida, formato de cifrado y manifest.
Detectados 4 huecos (esquema del manifest.json sin documentar, falta juego de muestra, endpoint HTTPS + CA, rechazo
de kid dev-*)</t>
        </is>
      </c>
      <c r="F20" s="11" t="n"/>
      <c r="G20" s="11" t="n"/>
      <c r="H20" s="11" t="n"/>
      <c r="J20" s="2" t="n"/>
      <c r="K20" s="2" t="n"/>
      <c r="L20" s="2" t="n"/>
      <c r="M20" s="2" t="n"/>
      <c r="N20" s="2" t="n"/>
      <c r="O20" s="2" t="n"/>
    </row>
    <row r="21" ht="15.75" customHeight="1" s="15">
      <c r="A21" s="6" t="n">
        <v>46261</v>
      </c>
      <c r="B21" s="11" t="inlineStr">
        <is>
          <t>BC</t>
        </is>
      </c>
      <c r="C21" s="11" t="inlineStr">
        <is>
          <t>BC-1</t>
        </is>
      </c>
      <c r="D21" s="11" t="n">
        <v>1</v>
      </c>
      <c r="E21" s="11" t="inlineStr">
        <is>
          <t xml:space="preserve"> Firma de release: keystore único de proyecto (PKCS12, RSA 4096), signingConfig vía local.properties,
versión 1.2→1.3 (code 4), APK firmado y verificado (v2)</t>
        </is>
      </c>
      <c r="F21" s="11" t="n"/>
      <c r="G21" s="11" t="n"/>
      <c r="H21" s="11" t="n"/>
      <c r="J21" s="2" t="n"/>
      <c r="K21" s="2" t="n"/>
      <c r="L21" s="2" t="n"/>
      <c r="M21" s="2" t="n"/>
      <c r="N21" s="2" t="n"/>
      <c r="O21" s="2" t="n"/>
    </row>
    <row r="22" ht="15.75" customHeight="1" s="15">
      <c r="A22" s="6" t="n">
        <v>46261</v>
      </c>
      <c r="B22" s="11" t="inlineStr">
        <is>
          <t>AN</t>
        </is>
      </c>
      <c r="C22" s="11" t="inlineStr">
        <is>
          <t>AN-1</t>
        </is>
      </c>
      <c r="D22" s="11" t="n">
        <v>1</v>
      </c>
      <c r="E22" s="11" t="inlineStr">
        <is>
          <t xml:space="preserve"> Firma de release con el mismo keystore, versión 1.0→1.1 (code 2), APK firmado y verificado. R8 con minify</t>
        </is>
      </c>
      <c r="F22" s="11" t="n"/>
      <c r="G22" s="11" t="n"/>
      <c r="H22" s="11" t="n"/>
      <c r="J22" s="2" t="n"/>
      <c r="K22" s="2" t="n"/>
      <c r="L22" s="2" t="n"/>
      <c r="M22" s="2" t="n"/>
      <c r="N22" s="2" t="n"/>
      <c r="O22" s="2" t="n"/>
    </row>
    <row r="23" ht="15.75" customHeight="1" s="15">
      <c r="A23" s="6" t="n">
        <v>46263</v>
      </c>
      <c r="B23" s="11" t="inlineStr">
        <is>
          <t>AN</t>
        </is>
      </c>
      <c r="C23" s="11" t="inlineStr">
        <is>
          <t>AN-1</t>
        </is>
      </c>
      <c r="D23" s="11" t="n">
        <v>3</v>
      </c>
      <c r="E23" s="11" t="inlineStr">
        <is>
          <t xml:space="preserve"> Bóveda con contraseña: EvidenceVault, RSA + PBKDF2 + Keystore, destinatarios de clave.  Captura fuera de la galería: LocalEvidenceRepository sin MediaStore, borrado del claro. Pantalla Evidence Vault, VaultRepository, entrada desde Profile</t>
        </is>
      </c>
      <c r="F23" s="11" t="n"/>
      <c r="G23" s="11" t="n"/>
      <c r="H23" s="11" t="n"/>
      <c r="J23" s="2" t="n"/>
      <c r="K23" s="2" t="n"/>
      <c r="L23" s="2" t="n"/>
      <c r="M23" s="2" t="n"/>
      <c r="N23" s="2" t="n"/>
      <c r="O23" s="2" t="n"/>
    </row>
    <row r="24" ht="15.75" customHeight="1" s="15">
      <c r="A24" s="6" t="n">
        <v>46264</v>
      </c>
      <c r="B24" s="11" t="inlineStr">
        <is>
          <t>AN</t>
        </is>
      </c>
      <c r="C24" s="11" t="inlineStr">
        <is>
          <t>AN-1</t>
        </is>
      </c>
      <c r="D24" s="11" t="n">
        <v>2</v>
      </c>
      <c r="E24" s="11" t="inlineStr">
        <is>
          <t xml:space="preserve"> reproductor de audio dentro de la app , nota de audio enlazada al cerrar el incidente. Clasificación de la nota de audio + cierre encadenado; pruebas con adb</t>
        </is>
      </c>
      <c r="F24" s="11" t="n"/>
      <c r="G24" s="11" t="n"/>
      <c r="H24" s="11" t="n"/>
      <c r="J24" s="2" t="n"/>
      <c r="K24" s="2" t="n"/>
      <c r="L24" s="2" t="n"/>
      <c r="M24" s="2" t="n"/>
      <c r="N24" s="2" t="n"/>
      <c r="O24" s="2" t="n"/>
    </row>
    <row r="25" ht="15.75" customHeight="1" s="15">
      <c r="A25" s="6" t="n">
        <v>46264</v>
      </c>
      <c r="B25" s="11" t="inlineStr">
        <is>
          <t>BC</t>
        </is>
      </c>
      <c r="C25" s="11" t="inlineStr">
        <is>
          <t>BC-1</t>
        </is>
      </c>
      <c r="D25" s="11" t="n">
        <v>1</v>
      </c>
      <c r="E25" s="11" t="inlineStr">
        <is>
          <t>Avance documentacion</t>
        </is>
      </c>
      <c r="F25" s="11" t="n"/>
      <c r="G25" s="11" t="n"/>
      <c r="H25" s="11" t="n"/>
      <c r="J25" s="2" t="n"/>
      <c r="K25" s="2" t="n"/>
      <c r="L25" s="2" t="n"/>
      <c r="M25" s="2" t="n"/>
      <c r="N25" s="2" t="n"/>
      <c r="O25" s="2" t="n"/>
    </row>
    <row r="26" ht="15.75" customHeight="1" s="15">
      <c r="A26" s="2" t="n"/>
      <c r="B26" s="2" t="n"/>
      <c r="C26" s="2" t="n"/>
      <c r="D26" s="2" t="n"/>
      <c r="E26" s="2" t="n"/>
      <c r="F26" s="2" t="n"/>
      <c r="G26" s="2" t="n"/>
      <c r="H26" s="2" t="n"/>
      <c r="J26" s="2" t="n"/>
      <c r="K26" s="2" t="n"/>
      <c r="L26" s="2" t="n"/>
      <c r="M26" s="2" t="n"/>
      <c r="N26" s="2" t="n"/>
      <c r="O26" s="2" t="n"/>
    </row>
    <row r="27" ht="15.75" customHeight="1" s="15">
      <c r="A27" s="2" t="n"/>
      <c r="B27" s="2" t="n"/>
      <c r="C27" s="2" t="n"/>
      <c r="D27" s="2" t="n"/>
      <c r="E27" s="2" t="n"/>
      <c r="F27" s="2" t="n"/>
      <c r="G27" s="2" t="n"/>
      <c r="H27" s="2" t="n"/>
      <c r="J27" s="2" t="n"/>
      <c r="K27" s="2" t="n"/>
      <c r="L27" s="2" t="n"/>
      <c r="M27" s="2" t="n"/>
      <c r="N27" s="2" t="n"/>
      <c r="O27" s="2" t="n"/>
    </row>
    <row r="28" ht="15.75" customHeight="1" s="15">
      <c r="A28" s="2" t="n"/>
      <c r="B28" s="2" t="n"/>
      <c r="C28" s="2" t="n"/>
      <c r="D28" s="2" t="n"/>
      <c r="E28" s="2" t="n"/>
      <c r="F28" s="2" t="n"/>
      <c r="G28" s="2" t="n"/>
      <c r="H28" s="2" t="n"/>
      <c r="J28" s="2" t="n"/>
      <c r="K28" s="2" t="n"/>
      <c r="L28" s="2" t="n"/>
      <c r="M28" s="2" t="n"/>
      <c r="N28" s="2" t="n"/>
      <c r="O28" s="2" t="n"/>
    </row>
    <row r="29" ht="15.75" customHeight="1" s="15">
      <c r="A29" s="2" t="n"/>
      <c r="B29" s="2" t="n"/>
      <c r="C29" s="2" t="n"/>
      <c r="D29" s="2" t="n"/>
      <c r="E29" s="2" t="n"/>
      <c r="F29" s="2" t="n"/>
      <c r="G29" s="2" t="n"/>
      <c r="H29" s="2" t="n"/>
      <c r="J29" s="2" t="n"/>
      <c r="K29" s="2" t="n"/>
      <c r="L29" s="2" t="n"/>
      <c r="M29" s="2" t="n"/>
      <c r="N29" s="2" t="n"/>
      <c r="O29" s="2" t="n"/>
    </row>
    <row r="30" ht="15.75" customHeight="1" s="15">
      <c r="A30" s="2" t="n"/>
      <c r="B30" s="2" t="n"/>
      <c r="C30" s="2" t="n"/>
      <c r="D30" s="2" t="n"/>
      <c r="E30" s="2" t="n"/>
      <c r="F30" s="2" t="n"/>
      <c r="G30" s="2" t="n"/>
      <c r="H30" s="2" t="n"/>
      <c r="J30" s="2" t="n"/>
      <c r="K30" s="2" t="n"/>
      <c r="L30" s="2" t="n"/>
      <c r="M30" s="2" t="n"/>
      <c r="N30" s="2" t="n"/>
      <c r="O30" s="2" t="n"/>
    </row>
    <row r="31" ht="15.75" customHeight="1" s="15">
      <c r="A31" s="2" t="n"/>
      <c r="B31" s="2" t="n"/>
      <c r="C31" s="2" t="n"/>
      <c r="D31" s="2" t="n"/>
      <c r="E31" s="2" t="n"/>
      <c r="F31" s="2" t="n"/>
      <c r="G31" s="2" t="n"/>
      <c r="H31" s="2" t="n"/>
      <c r="J31" s="2" t="n"/>
      <c r="K31" s="2" t="n"/>
      <c r="L31" s="2" t="n"/>
      <c r="M31" s="2" t="n"/>
      <c r="N31" s="2" t="n"/>
      <c r="O31" s="2" t="n"/>
    </row>
    <row r="32" ht="15.75" customHeight="1" s="15">
      <c r="A32" s="2" t="n"/>
      <c r="B32" s="2" t="n"/>
      <c r="C32" s="2" t="n"/>
      <c r="D32" s="2" t="n"/>
      <c r="E32" s="2" t="n"/>
      <c r="F32" s="2" t="n"/>
      <c r="G32" s="2" t="n"/>
      <c r="H32" s="2" t="n"/>
      <c r="J32" s="2" t="n"/>
      <c r="K32" s="2" t="n"/>
      <c r="L32" s="2" t="n"/>
      <c r="M32" s="2" t="n"/>
      <c r="N32" s="2" t="n"/>
      <c r="O32" s="2" t="n"/>
    </row>
    <row r="33" ht="15.75" customHeight="1" s="15">
      <c r="A33" s="2" t="n"/>
      <c r="B33" s="2" t="n"/>
      <c r="C33" s="2" t="n"/>
      <c r="D33" s="2" t="n"/>
      <c r="E33" s="2" t="n"/>
      <c r="F33" s="2" t="n"/>
      <c r="G33" s="2" t="n"/>
      <c r="H33" s="2" t="n"/>
      <c r="J33" s="2" t="n"/>
      <c r="K33" s="2" t="n"/>
      <c r="L33" s="2" t="n"/>
      <c r="M33" s="2" t="n"/>
      <c r="N33" s="2" t="n"/>
      <c r="O33" s="2" t="n"/>
    </row>
    <row r="34" ht="15.75" customHeight="1" s="15">
      <c r="A34" s="2" t="n"/>
      <c r="B34" s="2" t="n"/>
      <c r="C34" s="2" t="n"/>
      <c r="D34" s="2" t="n"/>
      <c r="E34" s="2" t="n"/>
      <c r="F34" s="2" t="n"/>
      <c r="G34" s="2" t="n"/>
      <c r="H34" s="2" t="n"/>
      <c r="J34" s="2" t="n"/>
      <c r="K34" s="2" t="n"/>
      <c r="L34" s="2" t="n"/>
      <c r="M34" s="2" t="n"/>
      <c r="N34" s="2" t="n"/>
      <c r="O34" s="2" t="n"/>
    </row>
    <row r="35" ht="15.75" customHeight="1" s="15">
      <c r="A35" s="2" t="n"/>
      <c r="B35" s="2" t="n"/>
      <c r="C35" s="2" t="n"/>
      <c r="D35" s="2" t="n"/>
      <c r="E35" s="2" t="n"/>
      <c r="F35" s="2" t="n"/>
      <c r="G35" s="2" t="n"/>
      <c r="H35" s="2" t="n"/>
      <c r="J35" s="2" t="n"/>
      <c r="K35" s="2" t="n"/>
      <c r="L35" s="2" t="n"/>
      <c r="M35" s="2" t="n"/>
      <c r="N35" s="2" t="n"/>
      <c r="O35" s="2" t="n"/>
    </row>
    <row r="36" ht="15.75" customHeight="1" s="15">
      <c r="A36" s="2" t="n"/>
      <c r="B36" s="2" t="n"/>
      <c r="C36" s="2" t="n"/>
      <c r="D36" s="2" t="n"/>
      <c r="E36" s="2" t="n"/>
      <c r="F36" s="2" t="n"/>
      <c r="G36" s="2" t="n"/>
      <c r="H36" s="2" t="n"/>
      <c r="J36" s="2" t="n"/>
      <c r="K36" s="2" t="n"/>
      <c r="L36" s="2" t="n"/>
      <c r="M36" s="2" t="n"/>
      <c r="N36" s="2" t="n"/>
      <c r="O36" s="2" t="n"/>
    </row>
    <row r="37" ht="15.75" customHeight="1" s="15">
      <c r="A37" s="2" t="n"/>
      <c r="B37" s="2" t="n"/>
      <c r="C37" s="2" t="n"/>
      <c r="D37" s="2" t="n"/>
      <c r="E37" s="2" t="n"/>
      <c r="F37" s="2" t="n"/>
      <c r="G37" s="2" t="n"/>
      <c r="H37" s="2" t="n"/>
      <c r="J37" s="2" t="n"/>
      <c r="K37" s="2" t="n"/>
      <c r="L37" s="2" t="n"/>
      <c r="M37" s="2" t="n"/>
      <c r="N37" s="2" t="n"/>
      <c r="O37" s="2" t="n"/>
    </row>
    <row r="38" ht="15.75" customHeight="1" s="15">
      <c r="A38" s="2" t="n"/>
      <c r="B38" s="2" t="n"/>
      <c r="C38" s="2" t="n"/>
      <c r="D38" s="2" t="n"/>
      <c r="E38" s="2" t="n"/>
      <c r="F38" s="2" t="n"/>
      <c r="G38" s="2" t="n"/>
      <c r="H38" s="2" t="n"/>
      <c r="J38" s="2" t="n"/>
      <c r="K38" s="2" t="n"/>
      <c r="L38" s="2" t="n"/>
      <c r="M38" s="2" t="n"/>
      <c r="N38" s="2" t="n"/>
      <c r="O38" s="2" t="n"/>
    </row>
    <row r="39" ht="15.75" customHeight="1" s="15">
      <c r="A39" s="2" t="n"/>
      <c r="B39" s="2" t="n"/>
      <c r="C39" s="2" t="n"/>
      <c r="D39" s="2" t="n"/>
      <c r="E39" s="2" t="n"/>
      <c r="F39" s="2" t="n"/>
      <c r="G39" s="2" t="n"/>
      <c r="H39" s="2" t="n"/>
      <c r="J39" s="2" t="n"/>
      <c r="K39" s="2" t="n"/>
      <c r="L39" s="2" t="n"/>
      <c r="M39" s="2" t="n"/>
      <c r="N39" s="2" t="n"/>
      <c r="O39" s="2" t="n"/>
    </row>
    <row r="40" ht="15.75" customHeight="1" s="15">
      <c r="A40" s="2" t="n"/>
      <c r="B40" s="2" t="n"/>
      <c r="C40" s="2" t="n"/>
      <c r="D40" s="2" t="n"/>
      <c r="E40" s="2" t="n"/>
      <c r="F40" s="2" t="n"/>
      <c r="G40" s="2" t="n"/>
      <c r="H40" s="2" t="n"/>
      <c r="J40" s="2" t="n"/>
      <c r="K40" s="2" t="n"/>
      <c r="L40" s="2" t="n"/>
      <c r="M40" s="2" t="n"/>
      <c r="N40" s="2" t="n"/>
      <c r="O40" s="2" t="n"/>
    </row>
    <row r="41" ht="15.75" customHeight="1" s="15">
      <c r="A41" s="2" t="n"/>
      <c r="B41" s="2" t="n"/>
      <c r="C41" s="2" t="n"/>
      <c r="D41" s="2" t="n"/>
      <c r="E41" s="2" t="n"/>
      <c r="F41" s="2" t="n"/>
      <c r="G41" s="2" t="n"/>
      <c r="H41" s="2" t="n"/>
      <c r="J41" s="2" t="n"/>
      <c r="K41" s="2" t="n"/>
      <c r="L41" s="2" t="n"/>
      <c r="M41" s="2" t="n"/>
      <c r="N41" s="2" t="n"/>
      <c r="O41" s="2" t="n"/>
    </row>
    <row r="42" ht="15.75" customHeight="1" s="15">
      <c r="A42" s="2" t="n"/>
      <c r="B42" s="2" t="n"/>
      <c r="C42" s="10" t="inlineStr">
        <is>
          <t>TOTAL HORAS</t>
        </is>
      </c>
      <c r="D42" s="10">
        <f>SUM($D$4:$D$40)</f>
        <v/>
      </c>
      <c r="E42" s="2" t="n"/>
      <c r="F42" s="2" t="n"/>
      <c r="G42" s="2" t="n"/>
      <c r="H42" s="2" t="n"/>
      <c r="J42" s="2" t="n"/>
      <c r="K42" s="2" t="n"/>
      <c r="L42" s="2" t="n"/>
      <c r="M42" s="2" t="n"/>
      <c r="N42" s="2" t="n"/>
      <c r="O42" s="2" t="n"/>
    </row>
    <row r="43" ht="15.75" customHeight="1" s="15">
      <c r="A43" s="2" t="n"/>
      <c r="B43" s="2" t="n"/>
      <c r="C43" s="2" t="n"/>
      <c r="D43" s="2" t="n"/>
      <c r="E43" s="2" t="n"/>
      <c r="F43" s="2" t="n"/>
      <c r="G43" s="2" t="n"/>
      <c r="H43" s="2" t="n"/>
      <c r="J43" s="2" t="n"/>
      <c r="K43" s="2" t="n"/>
      <c r="L43" s="2" t="n"/>
      <c r="M43" s="2" t="n"/>
      <c r="N43" s="2" t="n"/>
      <c r="O43" s="2" t="n"/>
    </row>
    <row r="44" ht="15.75" customHeight="1" s="15">
      <c r="A44" s="2" t="n"/>
      <c r="B44" s="2" t="n"/>
      <c r="C44" s="2" t="n"/>
      <c r="D44" s="2" t="n"/>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15.75" customHeight="1" s="15">
      <c r="A46" s="2" t="n"/>
      <c r="B46" s="2" t="n"/>
      <c r="C46" s="2" t="n"/>
      <c r="D46" s="2" t="n"/>
      <c r="E46" s="2" t="n"/>
      <c r="F46" s="2" t="n"/>
      <c r="G46" s="2" t="n"/>
      <c r="H46" s="2" t="n"/>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2">
    <mergeCell ref="A2:H2"/>
    <mergeCell ref="A1:H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septiembre 2026</t>
        </is>
      </c>
      <c r="K3" s="2" t="n"/>
      <c r="L3" s="2" t="n"/>
      <c r="M3" s="2" t="n"/>
      <c r="N3" s="2" t="n"/>
      <c r="O3" s="2" t="n"/>
    </row>
    <row r="4">
      <c r="A4" s="6" t="n">
        <v>46268</v>
      </c>
      <c r="B4" s="11" t="inlineStr">
        <is>
          <t>AN</t>
        </is>
      </c>
      <c r="C4" s="11" t="inlineStr">
        <is>
          <t>AN-2</t>
        </is>
      </c>
      <c r="D4" s="11" t="n">
        <v>4</v>
      </c>
      <c r="E4" s="11" t="inlineStr">
        <is>
          <t>IAM AeriaOne, analisis: lectura de los dos documentos de ciberseguridad (arquitectura de 16 secciones con requisitos IAM-01..20, y catalogo de 68 workflows), reparto de responsabilidad (47 tocan al APK o a la bodycam) y plan por fases con estimacion</t>
        </is>
      </c>
      <c r="F4" s="11" t="n"/>
      <c r="G4" s="11" t="inlineStr">
        <is>
          <t>No</t>
        </is>
      </c>
      <c r="H4" s="11" t="inlineStr">
        <is>
          <t>ESTIMADO - CONFIRMAR</t>
        </is>
      </c>
      <c r="J4" s="4" t="inlineStr">
        <is>
          <t>Aplicación</t>
        </is>
      </c>
      <c r="K4" s="4" t="inlineStr">
        <is>
          <t>Bloques</t>
        </is>
      </c>
      <c r="L4" s="4" t="inlineStr">
        <is>
          <t>Días activ.</t>
        </is>
      </c>
      <c r="M4" s="4" t="inlineStr">
        <is>
          <t>Líneas código</t>
        </is>
      </c>
      <c r="N4" s="4" t="inlineStr">
        <is>
          <t>Horas</t>
        </is>
      </c>
      <c r="O4" s="4" t="inlineStr">
        <is>
          <t>Importe</t>
        </is>
      </c>
    </row>
    <row r="5">
      <c r="A5" s="6" t="n">
        <v>46269</v>
      </c>
      <c r="B5" s="11" t="inlineStr">
        <is>
          <t>AN</t>
        </is>
      </c>
      <c r="C5" s="11" t="inlineStr">
        <is>
          <t>AN-2</t>
        </is>
      </c>
      <c r="D5" s="11" t="n">
        <v>1.5</v>
      </c>
      <c r="E5" s="11" t="inlineStr">
        <is>
          <t>Maquina de estados de confianza y pantalla de bloqueo: siete estados de arranque, TrustGate por delante de la navegacion, PIN de 6 digitos con limite de intentos y bloqueo escalonado. Verificado en el Redmi</t>
        </is>
      </c>
      <c r="F5" s="11" t="inlineStr">
        <is>
          <t>f52a7b4</t>
        </is>
      </c>
      <c r="G5" s="11" t="inlineStr">
        <is>
          <t>No</t>
        </is>
      </c>
      <c r="H5" s="11" t="inlineStr">
        <is>
          <t>reloj de sesion 10:25-12:31</t>
        </is>
      </c>
      <c r="J5" s="13" t="inlineStr">
        <is>
          <t>BodyCamServer</t>
        </is>
      </c>
      <c r="K5" s="11" t="inlineStr">
        <is>
          <t>BC-7, BC-8, BC-9, BC-10, BC-11, BC-12, BC-13, BC-14, BC-16</t>
        </is>
      </c>
      <c r="L5" s="13">
        <f>SUMPRODUCT(($B$4:$B$65="BC")/COUNTIFS($A$4:$A$65,$A$4:$A$65&amp;"",$B$4:$B$65,$B$4:$B$65&amp;""))</f>
        <v/>
      </c>
      <c r="M5" s="13" t="n">
        <v>5560</v>
      </c>
      <c r="N5" s="13">
        <f>SUMIFS($D$4:$D$65,$B$4:$B$65,"BC",$G$4:$G$65,"&lt;&gt;Sí")</f>
        <v/>
      </c>
      <c r="O5" s="9">
        <f>N5*$K$9</f>
        <v/>
      </c>
    </row>
    <row r="6">
      <c r="A6" s="6" t="n">
        <v>46269</v>
      </c>
      <c r="B6" s="11" t="inlineStr">
        <is>
          <t>AN</t>
        </is>
      </c>
      <c r="C6" s="11" t="inlineStr">
        <is>
          <t>AN-2</t>
        </is>
      </c>
      <c r="D6" s="11" t="n">
        <v>0.5</v>
      </c>
      <c r="E6" s="11" t="inlineStr">
        <is>
          <t>Workflow 12, alta del telefono: par EC P-256 dentro del TEE con cadena de atestacion, PKCS#10 escrito a mano (sin BouncyCastle, ~130 lineas), CSR validado con openssl y prueba de posesion. 7 pruebas JVM. Verificado en el Redmi</t>
        </is>
      </c>
      <c r="F6" s="11" t="inlineStr">
        <is>
          <t>57081f9</t>
        </is>
      </c>
      <c r="G6" s="11" t="inlineStr">
        <is>
          <t>No</t>
        </is>
      </c>
      <c r="H6" s="11" t="inlineStr">
        <is>
          <t>reloj de sesion 10:25-12:31</t>
        </is>
      </c>
      <c r="J6" s="13" t="inlineStr">
        <is>
          <t>AeriaNexusPrototype</t>
        </is>
      </c>
      <c r="K6" s="11" t="inlineStr">
        <is>
          <t>AN-2, AN-3, AN-4, AN-5, AN-6, AN-7, AN-8, AN-9, AN-10, AN-11, AN-12, AN-13</t>
        </is>
      </c>
      <c r="L6" s="13">
        <f>SUMPRODUCT(($B$4:$B$65="AN")/COUNTIFS($A$4:$A$65,$A$4:$A$65&amp;"",$B$4:$B$65,$B$4:$B$65&amp;""))</f>
        <v/>
      </c>
      <c r="M6" s="13" t="n">
        <v>20950</v>
      </c>
      <c r="N6" s="13">
        <f>SUMIFS($D$4:$D$65,$B$4:$B$65,"AN",$G$4:$G$65,"&lt;&gt;Sí")</f>
        <v/>
      </c>
      <c r="O6" s="9">
        <f>N6*$K$9</f>
        <v/>
      </c>
    </row>
    <row r="7">
      <c r="A7" s="6" t="n">
        <v>46271</v>
      </c>
      <c r="B7" s="11" t="inlineStr">
        <is>
          <t>AN</t>
        </is>
      </c>
      <c r="C7" s="11" t="inlineStr">
        <is>
          <t>AN-2</t>
        </is>
      </c>
      <c r="D7" s="11" t="n">
        <v>1</v>
      </c>
      <c r="E7" s="11" t="inlineStr">
        <is>
          <t>Seguimiento propio de los 68 workflows: libro de 10 hojas cruzando el catalogo de ciberseguridad con el repositorio, con los 162 pasos de sus hojas de detalle marcados uno a uno</t>
        </is>
      </c>
      <c r="F7" s="11" t="n"/>
      <c r="G7" s="11" t="inlineStr">
        <is>
          <t>No</t>
        </is>
      </c>
      <c r="H7" s="11" t="inlineStr">
        <is>
          <t>reloj de sesion 16:19-20:42 (total medido; reparto por tarea estimado)</t>
        </is>
      </c>
      <c r="J7" s="13" t="inlineStr">
        <is>
          <t>aeria-nexus (backend)</t>
        </is>
      </c>
      <c r="K7" s="11" t="inlineStr">
        <is>
          <t>NX-1, NX-2, NX-3, NX-4</t>
        </is>
      </c>
      <c r="L7" s="13">
        <f>SUMPRODUCT(($B$4:$B$65="NX")/COUNTIFS($A$4:$A$65,$A$4:$A$65&amp;"",$B$4:$B$65,$B$4:$B$65&amp;""))</f>
        <v/>
      </c>
      <c r="M7" s="13" t="n">
        <v>11308</v>
      </c>
      <c r="N7" s="13">
        <f>SUMIFS($D$4:$D$65,$B$4:$B$65,"NX",$G$4:$G$65,"&lt;&gt;Sí")</f>
        <v/>
      </c>
      <c r="O7" s="9">
        <f>N7*$K$9</f>
        <v/>
      </c>
    </row>
    <row r="8">
      <c r="A8" s="6" t="n">
        <v>46271</v>
      </c>
      <c r="B8" s="11" t="inlineStr">
        <is>
          <t>AN</t>
        </is>
      </c>
      <c r="C8" s="11" t="inlineStr">
        <is>
          <t>AN-2</t>
        </is>
      </c>
      <c r="D8" s="11" t="n">
        <v>1</v>
      </c>
      <c r="E8" s="11" t="inlineStr">
        <is>
          <t>Workflow 3, certificado del agente: segundo par de claves con alias propio (separado del telefono, regla de no equivalencia), CSR contrafirmado por el terminal y CA de usuario separada de la de dispositivos. 5 pruebas JVM. Verificado en el Redmi</t>
        </is>
      </c>
      <c r="F8" s="11" t="n"/>
      <c r="G8" s="11" t="inlineStr">
        <is>
          <t>No</t>
        </is>
      </c>
      <c r="H8" s="11" t="inlineStr">
        <is>
          <t>reloj de sesion 16:19-20:42 (total medido; reparto por tarea estimado)</t>
        </is>
      </c>
      <c r="J8" s="10" t="inlineStr">
        <is>
          <t>TOTAL DEL MES</t>
        </is>
      </c>
      <c r="K8" s="13">
        <f>SUMPRODUCT(($C$4:$C$65&lt;&gt;"")/COUNTIF($C$4:$C$65,$C$4:$C$65&amp;""))</f>
        <v/>
      </c>
      <c r="L8" s="13">
        <f>SUMPRODUCT(($A$4:$A$65&lt;&gt;"")/COUNTIF($A$4:$A$65,$A$4:$A$65&amp;""))</f>
        <v/>
      </c>
      <c r="M8" s="10">
        <f>SUM(M5:M7)</f>
        <v/>
      </c>
      <c r="N8" s="10">
        <f>SUM(N5:N7)</f>
        <v/>
      </c>
      <c r="O8" s="12">
        <f>SUM(O5:O7)</f>
        <v/>
      </c>
    </row>
    <row r="9">
      <c r="A9" s="6" t="n">
        <v>46271</v>
      </c>
      <c r="B9" s="11" t="inlineStr">
        <is>
          <t>AN</t>
        </is>
      </c>
      <c r="C9" s="11" t="inlineStr">
        <is>
          <t>AN-2</t>
        </is>
      </c>
      <c r="D9" s="11" t="n">
        <v>1</v>
      </c>
      <c r="E9" s="11"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11" t="n"/>
      <c r="G9" s="11" t="inlineStr">
        <is>
          <t>No</t>
        </is>
      </c>
      <c r="H9" s="11" t="inlineStr">
        <is>
          <t>reloj de sesion 16:19-20:42 (total medido; reparto por tarea estimado)</t>
        </is>
      </c>
      <c r="J9" s="10" t="inlineStr">
        <is>
          <t>Tarifa (€/h)</t>
        </is>
      </c>
      <c r="K9" s="13" t="n">
        <v>20</v>
      </c>
      <c r="L9" s="2" t="n"/>
      <c r="M9" s="2" t="n"/>
      <c r="N9" s="2" t="n"/>
      <c r="O9" s="2" t="n"/>
    </row>
    <row r="10">
      <c r="A10" s="6" t="n">
        <v>46271</v>
      </c>
      <c r="B10" s="11" t="inlineStr">
        <is>
          <t>AN</t>
        </is>
      </c>
      <c r="C10" s="11" t="inlineStr">
        <is>
          <t>AN-2</t>
        </is>
      </c>
      <c r="D10" s="11" t="n">
        <v>1</v>
      </c>
      <c r="E10" s="11"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11" t="n"/>
      <c r="G10" s="11" t="inlineStr">
        <is>
          <t>No</t>
        </is>
      </c>
      <c r="H10" s="11" t="inlineStr">
        <is>
          <t>reloj de sesion 16:19-20:42 (total medido; reparto por tarea estimado)</t>
        </is>
      </c>
      <c r="J10" s="2" t="n"/>
      <c r="K10" s="2" t="n"/>
      <c r="L10" s="2" t="n"/>
      <c r="M10" s="2" t="n"/>
      <c r="N10" s="2" t="n"/>
      <c r="O10" s="2" t="n"/>
    </row>
    <row r="11">
      <c r="A11" s="6" t="n">
        <v>46271</v>
      </c>
      <c r="B11" s="11" t="inlineStr">
        <is>
          <t>AN</t>
        </is>
      </c>
      <c r="C11" s="11" t="inlineStr">
        <is>
          <t>AN-3</t>
        </is>
      </c>
      <c r="D11" s="11" t="n">
        <v>1</v>
      </c>
      <c r="E11" s="11" t="inlineStr">
        <is>
          <t>Workflow 31 (lado telefono): emparejamiento autenticado mutuo con la bodycam sobre el canal RFCOMM, e indicador de enlace de confianza en la barra superior. 6 pruebas JVM con cuatro ataques. Verificado contra la W1</t>
        </is>
      </c>
      <c r="F11" s="11" t="n"/>
      <c r="G11" s="11" t="inlineStr">
        <is>
          <t>No</t>
        </is>
      </c>
      <c r="H11" s="11" t="inlineStr">
        <is>
          <t>reloj de sesion 16:19-20:42 (total medido; reparto por tarea estimado)</t>
        </is>
      </c>
      <c r="J11" s="2" t="n"/>
      <c r="K11" s="2" t="n"/>
      <c r="L11" s="2" t="n"/>
      <c r="M11" s="2" t="n"/>
      <c r="N11" s="2" t="n"/>
      <c r="O11" s="2" t="n"/>
    </row>
    <row r="12">
      <c r="A12" s="6" t="n">
        <v>46271</v>
      </c>
      <c r="B12" s="11" t="inlineStr">
        <is>
          <t>BC</t>
        </is>
      </c>
      <c r="C12" s="11" t="inlineStr">
        <is>
          <t>BC-7</t>
        </is>
      </c>
      <c r="D12" s="11" t="n">
        <v>1</v>
      </c>
      <c r="E12" s="11" t="inlineStr">
        <is>
          <t>Workflows 13 y 31 (lado bodycam): identidad EC propia de la W1 en su Keystore, CSR y certificado emitido por la misma CA de dispositivos que los telefonos, y su mitad del emparejamiento. Verificado en la W1</t>
        </is>
      </c>
      <c r="F12" s="11" t="n"/>
      <c r="G12" s="11" t="inlineStr">
        <is>
          <t>No</t>
        </is>
      </c>
      <c r="H12" s="11" t="inlineStr">
        <is>
          <t>reloj de sesion 16:19-20:42 (total medido; reparto por tarea estimado)</t>
        </is>
      </c>
      <c r="J12" s="2" t="n"/>
      <c r="K12" s="2" t="n"/>
      <c r="L12" s="2" t="n"/>
      <c r="M12" s="2" t="n"/>
      <c r="N12" s="2" t="n"/>
      <c r="O12" s="2" t="n"/>
    </row>
    <row r="13">
      <c r="A13" s="6" t="n">
        <v>46271</v>
      </c>
      <c r="B13" s="11" t="inlineStr">
        <is>
          <t>AN</t>
        </is>
      </c>
      <c r="C13" s="11" t="inlineStr">
        <is>
          <t>AN-3</t>
        </is>
      </c>
      <c r="D13" s="11" t="n">
        <v>0.5</v>
      </c>
      <c r="E13" s="11" t="inlineStr">
        <is>
          <t>Workflows 33 y 34 (lado telefono): atadura agente-camara firmada con la clave del agente, con caducidad y deshecha al cerrar sesion. ESCRITO Y COMPILA, SIN VERIFICAR EN DISPOSITIVO</t>
        </is>
      </c>
      <c r="F13" s="11" t="n"/>
      <c r="G13" s="11" t="inlineStr">
        <is>
          <t>No</t>
        </is>
      </c>
      <c r="H13" s="11" t="inlineStr">
        <is>
          <t>reloj de sesion 16:19-20:42 (total medido; reparto por tarea estimado)</t>
        </is>
      </c>
      <c r="J13" s="2" t="n"/>
      <c r="K13" s="2" t="n"/>
      <c r="L13" s="2" t="n"/>
      <c r="M13" s="2" t="n"/>
      <c r="N13" s="2" t="n"/>
      <c r="O13" s="2" t="n"/>
    </row>
    <row r="14">
      <c r="A14" s="6" t="n">
        <v>46271</v>
      </c>
      <c r="B14" s="11" t="inlineStr">
        <is>
          <t>BC</t>
        </is>
      </c>
      <c r="C14" s="11" t="inlineStr">
        <is>
          <t>BC-7</t>
        </is>
      </c>
      <c r="D14" s="11" t="n">
        <v>0.5</v>
      </c>
      <c r="E14" s="11" t="inlineStr">
        <is>
          <t>Workflows 33 y 34 (lado bodycam): validacion de la atadura contra la CA de usuario, atada al nonce de la sesion de emparejamiento. ESCRITO Y COMPILA, SIN VERIFICAR EN DISPOSITIVO</t>
        </is>
      </c>
      <c r="F14" s="11" t="n"/>
      <c r="G14" s="11" t="inlineStr">
        <is>
          <t>No</t>
        </is>
      </c>
      <c r="H14" s="11" t="inlineStr">
        <is>
          <t>reloj de sesion 16:19-20:42 (total medido; reparto por tarea estimado)</t>
        </is>
      </c>
      <c r="J14" s="2" t="n"/>
      <c r="K14" s="2" t="n"/>
      <c r="L14" s="2" t="n"/>
      <c r="M14" s="2" t="n"/>
      <c r="N14" s="2" t="n"/>
      <c r="O14" s="2" t="n"/>
    </row>
    <row r="15">
      <c r="A15" s="6" t="n">
        <v>46272</v>
      </c>
      <c r="B15" s="11" t="inlineStr">
        <is>
          <t>AN</t>
        </is>
      </c>
      <c r="C15" s="11" t="inlineStr">
        <is>
          <t>AN-5</t>
        </is>
      </c>
      <c r="D15" s="11" t="n">
        <v>3</v>
      </c>
      <c r="E15" s="11"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11" t="inlineStr">
        <is>
          <t>8b7111d</t>
        </is>
      </c>
      <c r="G15" s="11" t="inlineStr">
        <is>
          <t>No</t>
        </is>
      </c>
      <c r="H15" s="11" t="inlineStr">
        <is>
          <t>indicado por el usuario; marcas de fichero 21:05-23:02</t>
        </is>
      </c>
      <c r="J15" s="2" t="n"/>
      <c r="K15" s="2" t="n"/>
      <c r="L15" s="2" t="n"/>
      <c r="M15" s="2" t="n"/>
      <c r="N15" s="2" t="n"/>
      <c r="O15" s="2" t="n"/>
    </row>
    <row r="16">
      <c r="A16" s="6" t="n">
        <v>46273</v>
      </c>
      <c r="B16" s="11" t="inlineStr">
        <is>
          <t>BC</t>
        </is>
      </c>
      <c r="C16" s="11" t="inlineStr">
        <is>
          <t>BC-8</t>
        </is>
      </c>
      <c r="D16" s="11" t="n">
        <v>3</v>
      </c>
      <c r="E16" s="11"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11" t="inlineStr">
        <is>
          <t>sin commitear</t>
        </is>
      </c>
      <c r="G16" s="11" t="inlineStr">
        <is>
          <t>No</t>
        </is>
      </c>
      <c r="H16" s="11" t="inlineStr">
        <is>
          <t>marcas de fichero 12:33-16:39 (total medido; reparto por app estimado)</t>
        </is>
      </c>
      <c r="J16" s="2" t="n"/>
      <c r="K16" s="2" t="n"/>
      <c r="L16" s="2" t="n"/>
      <c r="M16" s="2" t="n"/>
      <c r="N16" s="2" t="n"/>
      <c r="O16" s="2" t="n"/>
    </row>
    <row r="17">
      <c r="A17" s="6" t="n">
        <v>46273</v>
      </c>
      <c r="B17" s="11" t="inlineStr">
        <is>
          <t>AN</t>
        </is>
      </c>
      <c r="C17" s="11" t="inlineStr">
        <is>
          <t>AN-4</t>
        </is>
      </c>
      <c r="D17" s="11" t="n">
        <v>1.5</v>
      </c>
      <c r="E17" s="11"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11" t="inlineStr">
        <is>
          <t>sin commitear</t>
        </is>
      </c>
      <c r="G17" s="11" t="inlineStr">
        <is>
          <t>No</t>
        </is>
      </c>
      <c r="H17" s="11" t="inlineStr">
        <is>
          <t>marcas de fichero 12:33-16:53 (total medido; reparto por app estimado)</t>
        </is>
      </c>
      <c r="J17" s="2" t="n"/>
      <c r="K17" s="2" t="n"/>
      <c r="L17" s="2" t="n"/>
      <c r="M17" s="2" t="n"/>
      <c r="N17" s="2" t="n"/>
      <c r="O17" s="2" t="n"/>
    </row>
    <row r="18">
      <c r="A18" s="6" t="n">
        <v>46273</v>
      </c>
      <c r="B18" s="11" t="inlineStr">
        <is>
          <t>AN</t>
        </is>
      </c>
      <c r="C18" s="11" t="inlineStr">
        <is>
          <t>AN-4</t>
        </is>
      </c>
      <c r="D18" s="11" t="n">
        <v>0.5</v>
      </c>
      <c r="E18" s="11"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11" t="inlineStr">
        <is>
          <t>sin commitear</t>
        </is>
      </c>
      <c r="G18" s="11" t="inlineStr">
        <is>
          <t>No</t>
        </is>
      </c>
      <c r="H18" s="11" t="inlineStr">
        <is>
          <t>marcas de fichero 17:40-18:10</t>
        </is>
      </c>
      <c r="J18" s="2" t="n"/>
      <c r="K18" s="2" t="n"/>
      <c r="L18" s="2" t="n"/>
      <c r="M18" s="2" t="n"/>
      <c r="N18" s="2" t="n"/>
      <c r="O18" s="2" t="n"/>
    </row>
    <row r="19">
      <c r="A19" s="6" t="n">
        <v>46274</v>
      </c>
      <c r="B19" s="11" t="inlineStr">
        <is>
          <t>BC</t>
        </is>
      </c>
      <c r="C19" s="11" t="inlineStr">
        <is>
          <t>BC-8</t>
        </is>
      </c>
      <c r="D19" s="11" t="n">
        <v>1.5</v>
      </c>
      <c r="E19" s="11"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11" t="inlineStr">
        <is>
          <t>c000b50</t>
        </is>
      </c>
      <c r="G19" s="11" t="inlineStr">
        <is>
          <t>No</t>
        </is>
      </c>
      <c r="H19" s="11" t="inlineStr">
        <is>
          <t>marcas de fichero 08:41-12:21 (total medido; reparto por tarea estimado)</t>
        </is>
      </c>
      <c r="J19" s="2" t="n"/>
      <c r="K19" s="2" t="n"/>
      <c r="L19" s="2" t="n"/>
      <c r="M19" s="2" t="n"/>
      <c r="N19" s="2" t="n"/>
      <c r="O19" s="2" t="n"/>
    </row>
    <row r="20">
      <c r="A20" s="6" t="n">
        <v>46274</v>
      </c>
      <c r="B20" s="11" t="inlineStr">
        <is>
          <t>AN</t>
        </is>
      </c>
      <c r="C20" s="11" t="inlineStr">
        <is>
          <t>AN-4</t>
        </is>
      </c>
      <c r="D20" s="11" t="n">
        <v>1</v>
      </c>
      <c r="E20" s="11"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11" t="inlineStr">
        <is>
          <t>5492a2c</t>
        </is>
      </c>
      <c r="G20" s="11" t="inlineStr">
        <is>
          <t>No</t>
        </is>
      </c>
      <c r="H20" s="11" t="inlineStr">
        <is>
          <t>marcas de fichero 08:41-12:21 (total medido; reparto por tarea estimado)</t>
        </is>
      </c>
      <c r="J20" s="2" t="n"/>
      <c r="K20" s="2" t="n"/>
      <c r="L20" s="2" t="n"/>
      <c r="M20" s="2" t="n"/>
      <c r="N20" s="2" t="n"/>
      <c r="O20" s="2" t="n"/>
    </row>
    <row r="21" ht="15.75" customHeight="1" s="15">
      <c r="A21" s="6" t="n">
        <v>46274</v>
      </c>
      <c r="B21" s="11" t="inlineStr">
        <is>
          <t>AN</t>
        </is>
      </c>
      <c r="C21" s="11" t="inlineStr">
        <is>
          <t>AN-4</t>
        </is>
      </c>
      <c r="D21" s="11" t="n">
        <v>1</v>
      </c>
      <c r="E21" s="11"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11" t="inlineStr">
        <is>
          <t>5492a2c</t>
        </is>
      </c>
      <c r="G21" s="11" t="inlineStr">
        <is>
          <t>No</t>
        </is>
      </c>
      <c r="H21" s="11" t="inlineStr">
        <is>
          <t>marcas de fichero 08:41-12:21 (total medido; reparto por tarea estimado)</t>
        </is>
      </c>
      <c r="J21" s="2" t="n"/>
      <c r="K21" s="2" t="n"/>
      <c r="L21" s="2" t="n"/>
      <c r="M21" s="2" t="n"/>
      <c r="N21" s="2" t="n"/>
      <c r="O21" s="2" t="n"/>
    </row>
    <row r="22" ht="15.75" customHeight="1" s="15">
      <c r="A22" s="6" t="n">
        <v>46274</v>
      </c>
      <c r="B22" s="11" t="inlineStr">
        <is>
          <t>AN</t>
        </is>
      </c>
      <c r="C22" s="11" t="inlineStr">
        <is>
          <t>AN-5</t>
        </is>
      </c>
      <c r="D22" s="11" t="n">
        <v>0.5</v>
      </c>
      <c r="E22" s="11"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11" t="inlineStr">
        <is>
          <t>sin commitear</t>
        </is>
      </c>
      <c r="G22" s="11" t="inlineStr">
        <is>
          <t>No</t>
        </is>
      </c>
      <c r="H22" s="11" t="inlineStr">
        <is>
          <t>marcas de fichero 08:41-12:21 (total medido; reparto por tarea estimado)</t>
        </is>
      </c>
      <c r="J22" s="2" t="n"/>
      <c r="K22" s="2" t="n"/>
      <c r="L22" s="2" t="n"/>
      <c r="M22" s="2" t="n"/>
      <c r="N22" s="2" t="n"/>
      <c r="O22" s="2" t="n"/>
    </row>
    <row r="23" ht="15.75" customHeight="1" s="15">
      <c r="A23" s="6" t="n">
        <v>46274</v>
      </c>
      <c r="B23" s="11" t="inlineStr">
        <is>
          <t>BC</t>
        </is>
      </c>
      <c r="C23" s="11" t="n"/>
      <c r="D23" s="11" t="n">
        <v>1</v>
      </c>
      <c r="E23" s="11" t="inlineStr">
        <is>
          <t>Reunion</t>
        </is>
      </c>
      <c r="F23" s="11" t="n"/>
      <c r="G23" s="11" t="inlineStr">
        <is>
          <t>No</t>
        </is>
      </c>
      <c r="H23" s="11" t="inlineStr">
        <is>
          <t>indicado por el usuario</t>
        </is>
      </c>
      <c r="J23" s="2" t="n"/>
      <c r="K23" s="2" t="n"/>
      <c r="L23" s="2" t="n"/>
      <c r="M23" s="2" t="n"/>
      <c r="N23" s="2" t="n"/>
      <c r="O23" s="2" t="n"/>
    </row>
    <row r="24" ht="15.75" customHeight="1" s="15">
      <c r="A24" s="6" t="n">
        <v>46274</v>
      </c>
      <c r="B24" s="11" t="inlineStr">
        <is>
          <t>AN</t>
        </is>
      </c>
      <c r="C24" s="11" t="inlineStr">
        <is>
          <t>AN-7</t>
        </is>
      </c>
      <c r="D24" s="11" t="n">
        <v>3</v>
      </c>
      <c r="E24" s="11"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11" t="inlineStr">
        <is>
          <t>22768a9</t>
        </is>
      </c>
      <c r="G24" s="11" t="inlineStr">
        <is>
          <t>No</t>
        </is>
      </c>
      <c r="H24" s="11" t="inlineStr">
        <is>
          <t>marcas de fichero 13:13-15:57 (2,7 h medidas), redondeado al alza a 3 h</t>
        </is>
      </c>
      <c r="J24" s="2" t="n"/>
      <c r="K24" s="2" t="n"/>
      <c r="L24" s="2" t="n"/>
      <c r="M24" s="2" t="n"/>
      <c r="N24" s="2" t="n"/>
      <c r="O24" s="2" t="n"/>
    </row>
    <row r="25" ht="15.75" customHeight="1" s="15">
      <c r="A25" s="6" t="n">
        <v>46274</v>
      </c>
      <c r="B25" s="11" t="inlineStr">
        <is>
          <t>AN</t>
        </is>
      </c>
      <c r="C25" s="11" t="inlineStr">
        <is>
          <t>AN-5</t>
        </is>
      </c>
      <c r="D25" s="11" t="n">
        <v>1.5</v>
      </c>
      <c r="E25" s="11"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11" t="inlineStr">
        <is>
          <t>sin commitear</t>
        </is>
      </c>
      <c r="G25" s="11" t="inlineStr">
        <is>
          <t>No</t>
        </is>
      </c>
      <c r="H25" s="11" t="inlineStr">
        <is>
          <t>reloj de sesion 21:05-22:25</t>
        </is>
      </c>
      <c r="J25" s="2" t="n"/>
      <c r="K25" s="2" t="n"/>
      <c r="L25" s="2" t="n"/>
      <c r="M25" s="2" t="n"/>
      <c r="N25" s="2" t="n"/>
      <c r="O25" s="2" t="n"/>
    </row>
    <row r="26" ht="15.75" customHeight="1" s="15">
      <c r="A26" s="6" t="n">
        <v>46276</v>
      </c>
      <c r="B26" s="11" t="inlineStr">
        <is>
          <t>AN</t>
        </is>
      </c>
      <c r="C26" s="11" t="inlineStr">
        <is>
          <t>AN-6</t>
        </is>
      </c>
      <c r="D26" s="11" t="n">
        <v>2</v>
      </c>
      <c r="E26" s="11"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11" t="inlineStr">
        <is>
          <t>sin commitear</t>
        </is>
      </c>
      <c r="G26" s="11" t="inlineStr">
        <is>
          <t>No</t>
        </is>
      </c>
      <c r="H26" s="11" t="inlineStr">
        <is>
          <t>reloj de sesion 14:26-16:30 (2,1 h medidas), redondeado al alza a 3 h por indicacion del usuario; reparto por app estimado</t>
        </is>
      </c>
      <c r="J26" s="2" t="n"/>
      <c r="K26" s="2" t="n"/>
      <c r="L26" s="2" t="n"/>
      <c r="M26" s="2" t="n"/>
      <c r="N26" s="2" t="n"/>
      <c r="O26" s="2" t="n"/>
    </row>
    <row r="27" ht="15.75" customHeight="1" s="15">
      <c r="A27" s="6" t="n">
        <v>46276</v>
      </c>
      <c r="B27" s="11" t="inlineStr">
        <is>
          <t>BC</t>
        </is>
      </c>
      <c r="C27" s="11" t="inlineStr">
        <is>
          <t>BC-9</t>
        </is>
      </c>
      <c r="D27" s="11" t="n">
        <v>1.5</v>
      </c>
      <c r="E27" s="11"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11" t="inlineStr">
        <is>
          <t>sin commitear</t>
        </is>
      </c>
      <c r="G27" s="11" t="inlineStr">
        <is>
          <t>No</t>
        </is>
      </c>
      <c r="H27" s="11" t="inlineStr">
        <is>
          <t>reloj de sesion 14:26-16:30 (2,1 h medidas), redondeado al alza a 3 h por indicacion del usuario; reparto por app estimado</t>
        </is>
      </c>
      <c r="J27" s="2" t="n"/>
      <c r="K27" s="2" t="n"/>
      <c r="L27" s="2" t="n"/>
      <c r="M27" s="2" t="n"/>
      <c r="N27" s="2" t="n"/>
      <c r="O27" s="2" t="n"/>
    </row>
    <row r="28" ht="15.75" customHeight="1" s="15">
      <c r="A28" s="6" t="n">
        <v>46277</v>
      </c>
      <c r="B28" s="11" t="inlineStr">
        <is>
          <t>AN</t>
        </is>
      </c>
      <c r="C28" s="11" t="inlineStr">
        <is>
          <t>AN-5</t>
        </is>
      </c>
      <c r="D28" s="11" t="n">
        <v>3</v>
      </c>
      <c r="E28" s="11"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11" t="inlineStr">
        <is>
          <t>sin commitear</t>
        </is>
      </c>
      <c r="G28" s="11" t="inlineStr">
        <is>
          <t>No</t>
        </is>
      </c>
      <c r="H28" s="11" t="inlineStr">
        <is>
          <t>indicado por el usuario</t>
        </is>
      </c>
      <c r="J28" s="2" t="n"/>
      <c r="K28" s="2" t="n"/>
      <c r="L28" s="2" t="n"/>
      <c r="M28" s="2" t="n"/>
      <c r="N28" s="2" t="n"/>
      <c r="O28" s="2" t="n"/>
    </row>
    <row r="29" ht="15.75" customHeight="1" s="15">
      <c r="A29" s="6" t="n">
        <v>46278</v>
      </c>
      <c r="B29" s="11" t="inlineStr">
        <is>
          <t>AN</t>
        </is>
      </c>
      <c r="C29" s="11" t="inlineStr">
        <is>
          <t>AN-8</t>
        </is>
      </c>
      <c r="D29" s="11" t="n">
        <v>8.5</v>
      </c>
      <c r="E29" s="11" t="inlineStr">
        <is>
          <t>Rele de la bodycam a las FalconOne, de punta a punta, mas repaso de interfaz. El oficial pulsa grabar o el SOS en la camara del pecho y las gafas graban solas, sin tocar el telefono (peticion del manager). Canal BLE permanente con reintento, estado de grabacion honesto con los botones fisicos, notificacion de video pendiente, descarga completa por el WiFi de las gafas hasta la boveda cifrada, y aviso sonoro si un SOS se queda sin ellas. Antes, desmontado el AAR del fabricante para sacar el protocolo HTTP, que no estaba documentado. Verificado contra la W1 y las gafas: del boton al fichero cifrado en 14 s. Interfaz: todos los textos a ingles, barra superior unificada en todas las pantallas con el patron de Android (un solo Scaffold envolviendo el NavHost), mandos de perifericos movidos a los iconos de esa barra, PTT con el peso del boton de emergencia, ficha del oficial visible sin scroll en la pantalla de PIN y renombrado de las gafas a FalconOne. Repaso general: arreglados un fallo que reventaba la boveda al abrirla, nombres de fichero que se pisaban en descargas en lote, una excepcion de API 28 capturada con minSdk 26 que habria tumbado el alta en Android 8, y la descarga que se quedaba colgada en 'Retrieving' si caia el WiFi de las gafas. Anadido interruptor de compilacion para dejar el selector de estado de confianza en la APK de release de pruebas.</t>
        </is>
      </c>
      <c r="F29" s="11" t="inlineStr">
        <is>
          <t>347abb0, 8b9175b, 69c7530, f886beb, f33d11f</t>
        </is>
      </c>
      <c r="G29" s="11" t="inlineStr">
        <is>
          <t>No</t>
        </is>
      </c>
      <c r="H29" s="11" t="inlineStr">
        <is>
          <t>marcas de fichero 15:13-23:25 (8,2 h medidas), redondeado al alza a 8,5 h</t>
        </is>
      </c>
      <c r="J29" s="2" t="n"/>
      <c r="K29" s="2" t="n"/>
      <c r="L29" s="2" t="n"/>
      <c r="M29" s="2" t="n"/>
      <c r="N29" s="2" t="n"/>
      <c r="O29" s="2" t="n"/>
    </row>
    <row r="30" ht="15.75" customHeight="1" s="15">
      <c r="A30" s="6" t="n">
        <v>46279</v>
      </c>
      <c r="B30" s="11" t="inlineStr">
        <is>
          <t>AN</t>
        </is>
      </c>
      <c r="C30" s="11" t="inlineStr">
        <is>
          <t>AN-9</t>
        </is>
      </c>
      <c r="D30" s="11" t="n">
        <v>1.3</v>
      </c>
      <c r="E30" s="11" t="inlineStr">
        <is>
          <t>Enlace con la bodycam sin MAC compilada y uid propio por unidad (telefono). Busqueda Bluetooth y selector de bodycam desde la app, con la eleccion guardada: un APK ya sirve para cualquier W1. Cada bodycam se reconoce por rango de uid y la propia por el stream_uid del STATUS, lo que arregla que un telefono con su bodycam enlazada silenciara el SOS de la bodycam de otro agente. Estado de SOS y PTT por uid, visor por uid y prueba JVM del contrato de rangos. Analisis y requisitos del PTT hacia la bodycam. Verificado con W1 y Samsung.</t>
        </is>
      </c>
      <c r="F30" s="11" t="inlineStr">
        <is>
          <t>sin commitear</t>
        </is>
      </c>
      <c r="G30" s="11" t="inlineStr">
        <is>
          <t>No</t>
        </is>
      </c>
      <c r="H30" s="11" t="inlineStr">
        <is>
          <t>reloj de sesion 19:36-19:52 y 21:53-23:50 (2,2 h medidas, sin el hueco 19:52-21:34 del reinicio), redondeado al alza a 2,5 h; reparto por app y tarea estimado</t>
        </is>
      </c>
      <c r="J30" s="2" t="n"/>
      <c r="K30" s="2" t="n"/>
      <c r="L30" s="2" t="n"/>
      <c r="M30" s="2" t="n"/>
      <c r="N30" s="2" t="n"/>
      <c r="O30" s="2" t="n"/>
    </row>
    <row r="31" ht="15.75" customHeight="1" s="15">
      <c r="A31" s="6" t="n">
        <v>46279</v>
      </c>
      <c r="B31" s="11" t="inlineStr">
        <is>
          <t>BC</t>
        </is>
      </c>
      <c r="C31" s="11" t="inlineStr">
        <is>
          <t>BC-10</t>
        </is>
      </c>
      <c r="D31" s="11" t="n">
        <v>0.6</v>
      </c>
      <c r="E31" s="11" t="inlineStr">
        <is>
          <t>Visibilidad y uid propio (bodycam). La W1 se deja encontrar 5 min al arrancar (setScanMode oculto; el tiempo lo corta la propia app porque Android 9 no lo cumple), verificado tambien con la pantalla apagada. uid de Agora sacado de la identidad BWC (BWC-896E entra como 45182) en las entradas al canal, en el STATUS y en el aviso de SOS al backend, que ahora recibe bwc_id.</t>
        </is>
      </c>
      <c r="F31" s="11" t="inlineStr">
        <is>
          <t>sin commitear</t>
        </is>
      </c>
      <c r="G31" s="11" t="inlineStr">
        <is>
          <t>No</t>
        </is>
      </c>
      <c r="H31" s="11" t="inlineStr">
        <is>
          <t>reloj de sesion 19:36-19:52 y 21:53-23:50 (2,2 h medidas, sin el hueco 19:52-21:34 del reinicio), redondeado al alza a 2,5 h; reparto por app y tarea estimado</t>
        </is>
      </c>
      <c r="J31" s="2" t="n"/>
      <c r="K31" s="2" t="n"/>
      <c r="L31" s="2" t="n"/>
      <c r="M31" s="2" t="n"/>
      <c r="N31" s="2" t="n"/>
      <c r="O31" s="2" t="n"/>
    </row>
    <row r="32" ht="15.75" customHeight="1" s="15">
      <c r="A32" s="6" t="n">
        <v>46279</v>
      </c>
      <c r="B32" s="11" t="inlineStr">
        <is>
          <t>BC</t>
        </is>
      </c>
      <c r="C32" s="11" t="inlineStr">
        <is>
          <t>BC-8</t>
        </is>
      </c>
      <c r="D32" s="11" t="n">
        <v>0.6</v>
      </c>
      <c r="E32" s="11" t="inlineStr">
        <is>
          <t>Medicion del PTT hacia la bodycam: sonda de depuracion que escucha el canal sin capturar. Resultado: la grabacion conserva su audio y recoge la voz que sale por el altavoz; Agora no abre el microfono y el modo de audio sigue en normal. Se lanzo tambien la medicion de bateria, sin analizar.</t>
        </is>
      </c>
      <c r="F32" s="11" t="inlineStr">
        <is>
          <t>sin commitear</t>
        </is>
      </c>
      <c r="G32" s="11" t="inlineStr">
        <is>
          <t>No</t>
        </is>
      </c>
      <c r="H32" s="11" t="inlineStr">
        <is>
          <t>reloj de sesion 19:36-19:52 y 21:53-23:50 (2,2 h medidas, sin el hueco 19:52-21:34 del reinicio), redondeado al alza a 2,5 h; reparto por app y tarea estimado</t>
        </is>
      </c>
      <c r="J32" s="2" t="n"/>
      <c r="K32" s="2" t="n"/>
      <c r="L32" s="2" t="n"/>
      <c r="M32" s="2" t="n"/>
      <c r="N32" s="2" t="n"/>
      <c r="O32" s="2" t="n"/>
    </row>
    <row r="33" ht="15.75" customHeight="1" s="15">
      <c r="A33" s="6" t="n">
        <v>46280</v>
      </c>
      <c r="B33" s="11" t="inlineStr">
        <is>
          <t>AN</t>
        </is>
      </c>
      <c r="C33" s="11" t="inlineStr">
        <is>
          <t>AN-4</t>
        </is>
      </c>
      <c r="D33" s="11" t="n">
        <v>0.5</v>
      </c>
      <c r="E33" s="11" t="inlineStr">
        <is>
          <t>PTT del telefono como conmutador (peticion del usuario): un toque abre el canal y otro lo cierra, en lugar de mantener pulsado; se sigue cerrando al salir de Operations y, al conceder el permiso de microfono, el canal se abre sin repetir el toque. Diagnostico de por que el PTT del Samsung no llegaba a nadie: llevaba fuera del canal desde la 01:44 (Agora dio la conexion por fallida tras 20 min sin red), Nexus no vuelve a entrar y sigue marcando ONLINE. Fallo documentado, SIN ARREGLAR. Verificado en el Samsung: micro abierto 13:03:32 y cerrado 13:03:39 con dos toques</t>
        </is>
      </c>
      <c r="F33" s="11" t="inlineStr">
        <is>
          <t>sin commitear</t>
        </is>
      </c>
      <c r="G33" s="11" t="inlineStr">
        <is>
          <t>No</t>
        </is>
      </c>
      <c r="H33" s="11" t="inlineStr">
        <is>
          <t>reloj de sesion 12:28-13:07 (0,65 h medidas), redondeado al alza a 1 h; reparto por app estimado sobre las marcas de fichero</t>
        </is>
      </c>
      <c r="J33" s="2" t="n"/>
      <c r="K33" s="2" t="n"/>
      <c r="L33" s="2" t="n"/>
      <c r="M33" s="2" t="n"/>
      <c r="N33" s="2" t="n"/>
      <c r="O33" s="2" t="n"/>
    </row>
    <row r="34" ht="15.75" customHeight="1" s="15">
      <c r="A34" s="6" t="n">
        <v>46280</v>
      </c>
      <c r="B34" s="11" t="inlineStr">
        <is>
          <t>BC</t>
        </is>
      </c>
      <c r="C34" s="11" t="inlineStr">
        <is>
          <t>BC-8</t>
        </is>
      </c>
      <c r="D34" s="11" t="n">
        <v>0.5</v>
      </c>
      <c r="E34" s="11" t="inlineStr">
        <is>
          <t>PTT del telefono sonando en la bodycam, punto 1: la W1 esta siempre en el canal de Agora como audiencia, sin capturar, con un solo motor compartido. El SOS y el PTT de la unidad ya no entran ni salen del canal: suben a emitir y vuelven a escuchar. Reentrada tras perder la conexion y SOS pedido sin red que sale al volver. Verificado en la W1: entra en 333 ms, la grabacion conserva el microfono, PTT y SOS propios suben y bajan y rearman el anillo, y el PTT del Samsung se reproduce en la unidad (DECODING)</t>
        </is>
      </c>
      <c r="F34" s="11" t="inlineStr">
        <is>
          <t>sin commitear</t>
        </is>
      </c>
      <c r="G34" s="11" t="inlineStr">
        <is>
          <t>No</t>
        </is>
      </c>
      <c r="H34" s="11" t="inlineStr">
        <is>
          <t>reloj de sesion 12:28-13:07 (0,65 h medidas), redondeado al alza a 1 h; reparto por app estimado sobre las marcas de fichero</t>
        </is>
      </c>
      <c r="J34" s="2" t="n"/>
      <c r="K34" s="2" t="n"/>
      <c r="L34" s="2" t="n"/>
      <c r="M34" s="2" t="n"/>
      <c r="N34" s="2" t="n"/>
      <c r="O34" s="2" t="n"/>
    </row>
    <row r="35" ht="15.75" customHeight="1" s="15">
      <c r="A35" s="6" t="n">
        <v>46280</v>
      </c>
      <c r="B35" s="11" t="inlineStr">
        <is>
          <t>AN</t>
        </is>
      </c>
      <c r="C35" s="11" t="inlineStr">
        <is>
          <t>AN-4</t>
        </is>
      </c>
      <c r="D35" s="11" t="n">
        <v>0.3</v>
      </c>
      <c r="E35" s="11" t="inlineStr">
        <is>
          <t>Reconexion al canal de Agora en Nexus. El telefono llevaba fuera del canal desde la 01:44 y la barra seguia en ONLINE: la app no escuchaba el estado de la conexion, no volvia a entrar nunca tras el FAILED de Agora (20 min sin red) y el ONLINE era un texto fijo. Ahora: reentrada cada 5 s con el mismo uid, el PTT propio se cierra con zumbido y no se abre fuera del canal, se limpian los avisos ajenos colgados, se republica el SOS al volver, se recrea el data stream si deja de valer (paso en la prueba) y la barra dice ONLINE / RECONNECTING / OFFLINE. Atajo debug para simular el fallo. Verificado en el Samsung.</t>
        </is>
      </c>
      <c r="F35" s="11" t="inlineStr">
        <is>
          <t>49d8c20</t>
        </is>
      </c>
      <c r="G35" s="11" t="inlineStr">
        <is>
          <t>No</t>
        </is>
      </c>
      <c r="H35" s="11" t="inlineStr">
        <is>
          <t>reloj de sesion 13:34-14:05 y 14:22-15:06 (1,25 h medidas), redondeado al alza a 1,5 h; no se cuentan 13:20-13:34 (anotar las horas de la manana) ni 14:05-14:22 (espera a que se desbloqueara el Samsung); reparto por bloque estimado</t>
        </is>
      </c>
      <c r="J35" s="2" t="n"/>
      <c r="K35" s="2" t="n"/>
      <c r="L35" s="2" t="n"/>
      <c r="M35" s="2" t="n"/>
      <c r="N35" s="2" t="n"/>
      <c r="O35" s="2" t="n"/>
    </row>
    <row r="36" ht="15.75" customHeight="1" s="15">
      <c r="A36" s="6" t="n">
        <v>46280</v>
      </c>
      <c r="B36" s="11" t="inlineStr">
        <is>
          <t>AN</t>
        </is>
      </c>
      <c r="C36" s="11" t="inlineStr">
        <is>
          <t>AN-2</t>
        </is>
      </c>
      <c r="D36" s="11" t="n">
        <v>0.6</v>
      </c>
      <c r="E36" s="11" t="inlineStr">
        <is>
          <t>IAM: revision contra el codigo de lo marcado como hecho (wf 4 y 13 confirmados; wf 30 exageraba, no habia gesto de cerrar sesion; aviso de SIMULADOR_CONFIANZA_EN_RELEASE=true). Workflow 5, cambio de PIN en tres pasos, con los fallos contando contra el limite del desbloqueo. Workflow 30, fin de turno: desata la bodycam con FIN_DE_TURNO, retira la autorizacion de la clave del agente, sella la boveda y bloquea. Verificado en el Samsung (cambio, bloqueo y PIN nuevo; PIN de los testers restaurado). Seguimiento-IAM actualizado.</t>
        </is>
      </c>
      <c r="F36" s="11" t="inlineStr">
        <is>
          <t>sin commitear</t>
        </is>
      </c>
      <c r="G36" s="11" t="inlineStr">
        <is>
          <t>No</t>
        </is>
      </c>
      <c r="H36" s="11" t="inlineStr">
        <is>
          <t>reloj de sesion 13:34-14:05 y 14:22-15:06 (1,25 h medidas), redondeado al alza a 1,5 h; no se cuentan 13:20-13:34 (anotar las horas de la manana) ni 14:05-14:22 (espera a que se desbloqueara el Samsung); reparto por bloque estimado</t>
        </is>
      </c>
      <c r="J36" s="2" t="n"/>
      <c r="K36" s="2" t="n"/>
      <c r="L36" s="2" t="n"/>
      <c r="M36" s="2" t="n"/>
      <c r="N36" s="2" t="n"/>
      <c r="O36" s="2" t="n"/>
    </row>
    <row r="37" ht="15.75" customHeight="1" s="15">
      <c r="A37" s="6" t="n">
        <v>46280</v>
      </c>
      <c r="B37" s="11" t="inlineStr">
        <is>
          <t>AN</t>
        </is>
      </c>
      <c r="C37" s="11" t="inlineStr">
        <is>
          <t>AN-10</t>
        </is>
      </c>
      <c r="D37" s="11" t="n">
        <v>0.6</v>
      </c>
      <c r="E37" s="11" t="inlineStr">
        <is>
          <t>IAM workflows 61 y 46: diario de auditoria local a prueba de manipulacion. Cada evento encadenado con HMAC-SHA256 y clave propia del Keystore; eventos de sesion, bodycam, boveda y cada visionado de evidencia, con agente, dispositivo y sesion; pantalla Audit log con el estado de la cadena. 8 pruebas JVM, una por ataque. Verificado en el Samsung: eventos reales registrados y un evento manipulado a mano detectado en su numero exacto. Limite escrito: cortar el final solo lo detecta el backend.</t>
        </is>
      </c>
      <c r="F37" s="11" t="inlineStr">
        <is>
          <t>sin commitear</t>
        </is>
      </c>
      <c r="G37" s="11" t="inlineStr">
        <is>
          <t>No</t>
        </is>
      </c>
      <c r="H37" s="11" t="inlineStr">
        <is>
          <t>reloj de sesion 13:34-14:05 y 14:22-15:06 (1,25 h medidas), redondeado al alza a 1,5 h; no se cuentan 13:20-13:34 (anotar las horas de la manana) ni 14:05-14:22 (espera a que se desbloqueara el Samsung); reparto por bloque estimado</t>
        </is>
      </c>
      <c r="J37" s="2" t="n"/>
      <c r="K37" s="2" t="n"/>
      <c r="L37" s="2" t="n"/>
      <c r="M37" s="2" t="n"/>
      <c r="N37" s="2" t="n"/>
      <c r="O37" s="2" t="n"/>
    </row>
    <row r="38" ht="15.75" customHeight="1" s="15">
      <c r="A38" s="6" t="n">
        <v>46280</v>
      </c>
      <c r="B38" s="11" t="inlineStr">
        <is>
          <t>AN</t>
        </is>
      </c>
      <c r="C38" s="11" t="inlineStr">
        <is>
          <t>AN-5</t>
        </is>
      </c>
      <c r="D38" s="11" t="n">
        <v>1</v>
      </c>
      <c r="E38" s="11" t="inlineStr">
        <is>
          <t>Gafas FalconOne sin MAC compilada: la MAC de las gafas iba metida en el APK, asi que la app solo reconocia nuestras gafas de pruebas y el manager no podia usar las suyas. Selector en la pantalla FalconOne con las gafas emparejadas en el telefono (destacadas las BleeqUp), eleccion guardada, eleccion automatica cuando solo hay unas emparejadas (tambien para el rele de la bodycam, que no pasa por la pantalla), boton CHANGE y acceso a los ajustes de Bluetooth. Verificado en el Redmi: las gafas se eligen solas y el enlace de audio se ve CONNECTED.</t>
        </is>
      </c>
      <c r="F38" s="11" t="inlineStr">
        <is>
          <t>sin commitear</t>
        </is>
      </c>
      <c r="G38" s="11" t="inlineStr">
        <is>
          <t>No</t>
        </is>
      </c>
      <c r="H38" s="11" t="inlineStr">
        <is>
          <t>indicado por el usuario: 2 h. Reloj de sesion 15:06-15:27, 16:03-16:26 y 16:41-16:48 (0,85 h activas); los huecos 15:27-16:03 y 16:26-16:41 fueron del usuario generando la release para el manager y probando en el Redmi. Reparto 1 / 1 estimado</t>
        </is>
      </c>
      <c r="J38" s="2" t="n"/>
      <c r="K38" s="2" t="n"/>
      <c r="L38" s="2" t="n"/>
      <c r="M38" s="2" t="n"/>
      <c r="N38" s="2" t="n"/>
      <c r="O38" s="2" t="n"/>
    </row>
    <row r="39" ht="15.75" customHeight="1" s="15">
      <c r="A39" s="6" t="n">
        <v>46280</v>
      </c>
      <c r="B39" s="11" t="inlineStr">
        <is>
          <t>AN</t>
        </is>
      </c>
      <c r="C39" s="11" t="inlineStr">
        <is>
          <t>AN-5</t>
        </is>
      </c>
      <c r="D39" s="11" t="n">
        <v>1</v>
      </c>
      <c r="E39" s="11" t="inlineStr">
        <is>
          <t>Gafas que no conectaban en Android 11 (Redmi del manager): 'NO CONTROL / The FalconOne is not responding'. Descartada la release (fallaba igual en debug) y localizada la causa desensamblando el SDK del fabricante: comprueba el permiso BLUETOOTH_CONNECT, que no existe hasta Android 12, y en Android 11 responde 'no conectado' sin intentar la conexion. Arreglado sin tocar su libreria, pasandole un contexto que en Android 11 o anterior responde con los permisos Bluetooth reales de esa version. De paso, Android 11 bloqueaba los avisos de conexion de las gafas a la app: corregido. Verificado en el Redmi: CONTROL READY y conexion GATT de la app confirmada por el sistema.</t>
        </is>
      </c>
      <c r="F39" s="11" t="inlineStr">
        <is>
          <t>sin commitear</t>
        </is>
      </c>
      <c r="G39" s="11" t="inlineStr">
        <is>
          <t>No</t>
        </is>
      </c>
      <c r="H39" s="11" t="inlineStr">
        <is>
          <t>indicado por el usuario: 2 h. Reloj de sesion 15:06-15:27, 16:03-16:26 y 16:41-16:48 (0,85 h activas); los huecos 15:27-16:03 y 16:26-16:41 fueron del usuario generando la release para el manager y probando en el Redmi. Reparto 1 / 1 estimado</t>
        </is>
      </c>
      <c r="J39" s="2" t="n"/>
      <c r="K39" s="2" t="n"/>
      <c r="L39" s="2" t="n"/>
      <c r="M39" s="2" t="n"/>
      <c r="N39" s="2" t="n"/>
      <c r="O39" s="2" t="n"/>
    </row>
    <row r="40" ht="15.75" customHeight="1" s="15">
      <c r="A40" s="6" t="n">
        <v>46280</v>
      </c>
      <c r="B40" s="11" t="inlineStr">
        <is>
          <t>AN</t>
        </is>
      </c>
      <c r="C40" s="11" t="inlineStr">
        <is>
          <t>AN-4</t>
        </is>
      </c>
      <c r="D40" s="11" t="n">
        <v>1</v>
      </c>
      <c r="E40" s="11" t="inlineStr">
        <is>
          <t>PTT pisado (peticion del usuario): si un agente esta hablando con el PTT abierto y otro abre el suyo encima, o al reves, suena un tono nuevo de tres pitidos agudos a volumen pleno (el pitido normal de recepcion quedaba tapado por la propia voz) y el boton PTT se pone ambar con icono de aviso y '&lt;oficial&gt; ALSO ON AIR'. Cuenta tambien la bodycam del propio agente. Tono copiado igual en BodyCamServer para mantener los tonos gemelos. Atajo debug para simular el PTT de otro agente con un solo telefono. Verificado en el Samsung con ese atajo (pantalla y numero de tonos en los cuatro casos); falta la prueba con dos telefonos reales.</t>
        </is>
      </c>
      <c r="F40" s="11" t="inlineStr">
        <is>
          <t>sin commitear</t>
        </is>
      </c>
      <c r="G40" s="11" t="inlineStr">
        <is>
          <t>No</t>
        </is>
      </c>
      <c r="H40" s="11" t="inlineStr">
        <is>
          <t>indicado por el usuario: 1 h</t>
        </is>
      </c>
      <c r="J40" s="2" t="n"/>
      <c r="K40" s="2" t="n"/>
      <c r="L40" s="2" t="n"/>
      <c r="M40" s="2" t="n"/>
      <c r="N40" s="2" t="n"/>
      <c r="O40" s="2" t="n"/>
    </row>
    <row r="41" ht="15.75" customHeight="1" s="15">
      <c r="A41" s="6" t="n">
        <v>46281</v>
      </c>
      <c r="B41" s="11" t="inlineStr">
        <is>
          <t>NX</t>
        </is>
      </c>
      <c r="C41" s="11" t="inlineStr">
        <is>
          <t>NX-1</t>
        </is>
      </c>
      <c r="D41" s="11" t="n">
        <v>3.5</v>
      </c>
      <c r="E41" s="11" t="inlineStr">
        <is>
          <t>Backend, arranque del ecosistema e identidad: repositorio de contratos aeria-contracts (upload-protocol, crypto-format, manifest-schema, iam-session, insights-schema, openapi) y simulador de cliente que recorre enrolamiento, sesion y las tres subidas generando un .fev real; tres costuras de portabilidad (almacen de evidencia, desenvoltura de claves, esquema de insights) para que ningun otro sitio hable con el SDK de un proveedor; e IAM F1-F6: modelos de identidad, dos CA separadas, enrolamiento de dispositivo y de agente con CSR y prueba de posesion, retos y sesion por token, autorizacion por rol con acotado de la evidencia, login del panel por persona y revocacion. 229 tests</t>
        </is>
      </c>
      <c r="F41" s="11" t="inlineStr">
        <is>
          <t>fc48ce9, ebc20a7, 970b5df, b0b8734, dd2998d, e2e6924, 472c800</t>
        </is>
      </c>
      <c r="G41" s="11" t="inlineStr">
        <is>
          <t>No</t>
        </is>
      </c>
      <c r="H41" s="11" t="inlineStr">
        <is>
          <t>commits 15:32-18:47 (3,25 h medidas, al alza 3,5 segun la regla del 13-sep)</t>
        </is>
      </c>
      <c r="J41" s="2" t="n"/>
      <c r="K41" s="2" t="n"/>
      <c r="L41" s="2" t="n"/>
      <c r="M41" s="2" t="n"/>
      <c r="N41" s="2" t="n"/>
      <c r="O41" s="2" t="n"/>
    </row>
    <row r="42" ht="15.75" customHeight="1" s="15">
      <c r="A42" s="6" t="n">
        <v>46281</v>
      </c>
      <c r="B42" s="11" t="inlineStr">
        <is>
          <t>NX</t>
        </is>
      </c>
      <c r="C42" s="11" t="inlineStr">
        <is>
          <t>NX-2</t>
        </is>
      </c>
      <c r="D42" s="11" t="n">
        <v>5</v>
      </c>
      <c r="E42" s="11" t="inlineStr">
        <is>
          <t>Backend, ingesta de evidencia y analisis: endpoint tus 1.0.0 reanudable con verificacion de integridad por sha256 del cifrado; y enlace subida-&gt;analisis, que era la cadena rota (recuperar del almacen, descifrar el .fev, temporal en claro que se borra pase lo que pase, verificacion de custodia contra el sha256_plain del manifiesto, mapeo al esquema canonico y encolado automatico). Tres fallos propios encontrados al probar: descriptor de mkstemp sin cerrar, try que no protegia el on_commit, y 109 s de espera al encolar sin Redis por el almacen de resultados. 250 tests</t>
        </is>
      </c>
      <c r="F42" s="11" t="inlineStr">
        <is>
          <t>ec1d5cf, 8115e2c, 6cc9451</t>
        </is>
      </c>
      <c r="G42" s="11" t="inlineStr">
        <is>
          <t>No</t>
        </is>
      </c>
      <c r="H42" s="11" t="inlineStr">
        <is>
          <t>commits 18:47-23:42 (4,9 h medidas, al alza 5)</t>
        </is>
      </c>
      <c r="J42" s="2" t="n"/>
      <c r="K42" s="2" t="n"/>
      <c r="L42" s="2" t="n"/>
      <c r="M42" s="2" t="n"/>
      <c r="N42" s="2" t="n"/>
      <c r="O42" s="2" t="n"/>
    </row>
    <row r="43" ht="15.75" customHeight="1" s="15">
      <c r="A43" s="6" t="n">
        <v>46282</v>
      </c>
      <c r="B43" s="11" t="inlineStr">
        <is>
          <t>NX</t>
        </is>
      </c>
      <c r="C43" s="11" t="inlineStr">
        <is>
          <t>NX-3</t>
        </is>
      </c>
      <c r="D43" s="11" t="n">
        <v>2.5</v>
      </c>
      <c r="E43" s="11" t="inlineStr">
        <is>
          <t>Backend, coste medido y demostracion: modelo de coste con las tarifas reales aportadas por el usuario, midiendo los ocho prompts en el codigo (0,45 EUR por incidente de 10 min; el indexador cuesta 3,5 veces el modelo, al reves de lo que decia la documentacion). Dos fallos propios del dia anterior arreglados (NameError en init_conversation y json.dumps sobre un dataclass, que colaba un repr de Python en el prompt) y cerrado el test de login intermitente parando el reloj. Comando inspeccionar_subidas para ver que llega de verdad de un dispositivo, abriendo el sobre cifrado. Y descubierto y arreglado que el panel no podia reproducir NINGUN video subido por un agente: modulo preview con descifrado a copia reutilizable, mas interruptor para apagar el indicador de IA en la demostracion. 264 tests</t>
        </is>
      </c>
      <c r="F43" s="11" t="inlineStr">
        <is>
          <t>sin commitear</t>
        </is>
      </c>
      <c r="G43" s="11" t="inlineStr">
        <is>
          <t>No</t>
        </is>
      </c>
      <c r="H43" s="11" t="inlineStr">
        <is>
          <t>2,5 h indicadas por el usuario; la sesion se prolongo pasada la medianoche y se imputa entera al 17</t>
        </is>
      </c>
      <c r="J43" s="2" t="n"/>
      <c r="K43" s="2" t="n"/>
      <c r="L43" s="2" t="n"/>
      <c r="M43" s="2" t="n"/>
      <c r="N43" s="2" t="n"/>
      <c r="O43" s="2" t="n"/>
    </row>
    <row r="44" ht="15.75" customHeight="1" s="15">
      <c r="A44" s="6" t="n">
        <v>46283</v>
      </c>
      <c r="B44" s="11" t="inlineStr">
        <is>
          <t>NX</t>
        </is>
      </c>
      <c r="C44" s="11" t="inlineStr">
        <is>
          <t>NX-1</t>
        </is>
      </c>
      <c r="D44" s="11" t="n">
        <v>0.8</v>
      </c>
      <c r="E44" s="11" t="inlineStr">
        <is>
          <t>Acceso al panel (tramo A, 10:15-11:02): retirada del respaldo a la cuenta de demostracion, un login sin usuario ya no entra como demo; check de arranque incidents.E001 que detiene el despliegue con DEBUG=False y rechazo en authenticate() para el caso gunicorn. 7 tests nuevos, 1 invertido y 2 heredados arreglados. 270 tests</t>
        </is>
      </c>
      <c r="F44" s="11" t="inlineStr">
        <is>
          <t>sin commitear</t>
        </is>
      </c>
      <c r="G44" s="11" t="inlineStr">
        <is>
          <t>No</t>
        </is>
      </c>
      <c r="H44" s="11" t="inlineStr">
        <is>
          <t>total de 4 h indicado por el usuario; reloj de la sesion de backend 10:15:48-14:28:12 (4,21 h) mas marcas de fichero (10:58, 11:23, 12:27, 13:40) y la sesion de la app hasta 15:25; reparto por tramo estimado</t>
        </is>
      </c>
      <c r="J44" s="2" t="n"/>
      <c r="K44" s="2" t="n"/>
      <c r="L44" s="2" t="n"/>
      <c r="M44" s="2" t="n"/>
      <c r="N44" s="2" t="n"/>
      <c r="O44" s="2" t="n"/>
    </row>
    <row r="45" ht="15.75" customHeight="1" s="15">
      <c r="A45" s="6" t="n">
        <v>46283</v>
      </c>
      <c r="B45" s="11" t="inlineStr">
        <is>
          <t>NX</t>
        </is>
      </c>
      <c r="C45" s="11" t="inlineStr">
        <is>
          <t>NX-3</t>
        </is>
      </c>
      <c r="D45" s="11" t="n">
        <v>0.4</v>
      </c>
      <c r="E45" s="11" t="inlineStr">
        <is>
          <t>Panel web (tramo B, 11:02-11:23): caida por agente nulo (TypeError en 6 puntos de 5 ficheros, causa raiz useState&lt;any[]&gt; en la lista). Nuevo lib/officer.ts, tipo IncidentListItem, tipos del pipeline, union duplicada retirada y proporcion real del logo; los avisos de lint bajan de 31 a 27</t>
        </is>
      </c>
      <c r="F45" s="11" t="inlineStr">
        <is>
          <t>sin commitear</t>
        </is>
      </c>
      <c r="G45" s="11" t="inlineStr">
        <is>
          <t>No</t>
        </is>
      </c>
      <c r="H45" s="11" t="inlineStr">
        <is>
          <t>total de 4 h indicado por el usuario; reloj de la sesion de backend 10:15:48-14:28:12 (4,21 h) mas marcas de fichero (10:58, 11:23, 12:27, 13:40) y la sesion de la app hasta 15:25; reparto por tramo estimado</t>
        </is>
      </c>
      <c r="J45" s="2" t="n"/>
      <c r="K45" s="2" t="n"/>
      <c r="L45" s="2" t="n"/>
      <c r="M45" s="2" t="n"/>
      <c r="N45" s="2" t="n"/>
      <c r="O45" s="2" t="n"/>
    </row>
    <row r="46" ht="15.75" customHeight="1" s="15">
      <c r="A46" s="6" t="n">
        <v>46283</v>
      </c>
      <c r="B46" s="11" t="inlineStr">
        <is>
          <t>NX</t>
        </is>
      </c>
      <c r="C46" s="11" t="inlineStr">
        <is>
          <t>NX-4</t>
        </is>
      </c>
      <c r="D46" s="11" t="n">
        <v>1.3</v>
      </c>
      <c r="E46" s="11" t="inlineStr">
        <is>
          <t>Evidencia del telefono en el backend (tramo C, parte backend): el backend no abria NADA de los dispositivos porque descifraba con la clave del simulador y no con la de BodyCamServer (mismo kid dev-2026-08); piezas por tipo de medio (foto, video, audio) con varias por incidente, el analisis de video ya no recibe fotos; file_views con lista y contenido descifrado con rangos; DeviceEvidencePanel en la pestana Media; ingesta del manifiesto del telefono (tipo, prioridad, ubicacion, coordenadas, linea de tiempo) y contrato phone-incident/1 en aeria-contracts. 277 tests</t>
        </is>
      </c>
      <c r="F46" s="11" t="inlineStr">
        <is>
          <t>sin commitear</t>
        </is>
      </c>
      <c r="G46" s="11" t="inlineStr">
        <is>
          <t>No</t>
        </is>
      </c>
      <c r="H46" s="11" t="inlineStr">
        <is>
          <t>total de 4 h indicado por el usuario; reloj de la sesion de backend 10:15:48-14:28:12 (4,21 h) mas marcas de fichero (10:58, 11:23, 12:27, 13:40) y la sesion de la app hasta 15:25; reparto por tramo estimado</t>
        </is>
      </c>
      <c r="J46" s="2" t="n"/>
      <c r="K46" s="2" t="n"/>
      <c r="L46" s="2" t="n"/>
      <c r="M46" s="2" t="n"/>
      <c r="N46" s="2" t="n"/>
      <c r="O46" s="2" t="n"/>
    </row>
    <row r="47" ht="15.75" customHeight="1" s="15">
      <c r="A47" s="6" t="n">
        <v>46283</v>
      </c>
      <c r="B47" s="11" t="inlineStr">
        <is>
          <t>AN</t>
        </is>
      </c>
      <c r="C47" s="11" t="inlineStr">
        <is>
          <t>AN-11</t>
        </is>
      </c>
      <c r="D47" s="11" t="n">
        <v>1.5</v>
      </c>
      <c r="E47" s="11" t="inlineStr">
        <is>
          <t>Conexion de la app con el backend (tramo C, parte app): alta del telefono y del agente contra el IAM real en vez de por adb (firma del PEM tal cual se envia), sesion con reto firmado al poner el PIN y token Bearer en la subida y en el SOS; media_type en cada pieza; manifiesto del incidente al cerrarlo; ubicacion real del incidente (direccion por Geocoder y coordenadas, Room v3). Verificado en el Samsung de punta a punta</t>
        </is>
      </c>
      <c r="F47" s="11" t="inlineStr">
        <is>
          <t>sin commitear</t>
        </is>
      </c>
      <c r="G47" s="11" t="inlineStr">
        <is>
          <t>No</t>
        </is>
      </c>
      <c r="H47" s="11" t="inlineStr">
        <is>
          <t>total de 4 h indicado por el usuario; reloj de la sesion de backend 10:15:48-14:28:12 (4,21 h) mas marcas de fichero (10:58, 11:23, 12:27, 13:40) y la sesion de la app hasta 15:25; reparto por tramo estimado</t>
        </is>
      </c>
      <c r="J47" s="2" t="n"/>
      <c r="K47" s="2" t="n"/>
      <c r="L47" s="2" t="n"/>
      <c r="M47" s="2" t="n"/>
      <c r="N47" s="2" t="n"/>
      <c r="O47" s="2" t="n"/>
    </row>
    <row r="48" ht="15.75" customHeight="1" s="15">
      <c r="A48" s="6" t="n">
        <v>46283</v>
      </c>
      <c r="B48" s="11" t="inlineStr">
        <is>
          <t>BC</t>
        </is>
      </c>
      <c r="C48" s="11" t="inlineStr">
        <is>
          <t>BC-11</t>
        </is>
      </c>
      <c r="D48" s="11" t="n">
        <v>1.5</v>
      </c>
      <c r="E48" s="11" t="inlineStr">
        <is>
          <t>Modo noche automatico en la bodycam W1 (peticion del usuario tras preguntar si la unidad tenia infrarrojo). Investigacion por adb: LEDs IR, filtro IR-CUT motorizado y sensor de luz ALPS presentes y sin usar por nadie, tampoco por las apps del fabricante. Sentido del motor medido con la camara (estaba documentado al reves: habria dejado el video de dia en magenta). ModoNoche: sensor con histeresis, solo con la camara en uso; descubierto y resuelto que el sensor ve el IR de sus propios LEDs (~470 lux a oscuras, entraba y salia cada 11 s): de noche se mide con el IR apagado 0,8 s cada 20 s. Blanco y negro en la grabacion (efecto MONO de Camera2) y en el SOS (observador de fotogramas de Agora). Verificado en dos videos de prueba; el SOS en monocromo queda PENDIENTE DE PROBAR</t>
        </is>
      </c>
      <c r="F48" s="11" t="inlineStr">
        <is>
          <t>sin commitear</t>
        </is>
      </c>
      <c r="G48" s="11" t="inlineStr">
        <is>
          <t>No</t>
        </is>
      </c>
      <c r="H48" s="11" t="inlineStr">
        <is>
          <t>marcas de fichero y reloj de sesion 15:21-16:42 (1,35 h medidas), redondeado al alza a 1,5 h</t>
        </is>
      </c>
      <c r="J48" s="2" t="n"/>
      <c r="K48" s="2" t="n"/>
      <c r="L48" s="2" t="n"/>
      <c r="M48" s="2" t="n"/>
      <c r="N48" s="2" t="n"/>
      <c r="O48" s="2" t="n"/>
    </row>
    <row r="49" ht="15.75" customHeight="1" s="15">
      <c r="A49" s="6" t="n">
        <v>46285</v>
      </c>
      <c r="B49" s="11" t="inlineStr">
        <is>
          <t>BC</t>
        </is>
      </c>
      <c r="C49" s="11" t="inlineStr">
        <is>
          <t>BC-12</t>
        </is>
      </c>
      <c r="D49" s="11" t="n">
        <v>1.5</v>
      </c>
      <c r="E49" s="11" t="inlineStr">
        <is>
          <t>Modo kiosco de la unidad (device owner), rama dev_device_owner. La app pasa a ser propietaria del aparato: anclaje de pantalla solo para nuestro paquete, barra de estado desactivada, la app como lanzador, apps del fabricante escondidas y restricciones (sin reset de fabrica, sin modo seguro, sin cambiar la hora). Dos reglas fijas: adb NUNCA se corta (las politicas fuerzan ADB_ENABLED y se deja fuera DISALLOW_INSTALL_APPS, que bloquearia adb install) y siempre hay salida sin borrar (clearDeviceOwnerApp). De regalo: arranque automatico real siendo lanzador, setTime para las 6 h de desfase y permisos concedidos solos. Script tools/kiosco.sh con dos niveles, piloto (sin rol, reversible, recorre todas las unidades conectadas) y kiosco completo. Incluye el analisis de las tres vias posibles (kiosco, firmware a medida y ROM propia sobre AOSP) y el destripado de la APK del fabricante MCP_..._ZXA_v286 (com.smarteye.mcu): resulto ser una app de usuario firmada con clave de depuracion, lanzador mas device admin, sin lock task ni nada del rol de propietario. COMPILA, SIN PROBAR EN LA UNIDAD: no habia aparato conectado</t>
        </is>
      </c>
      <c r="F49" s="11" t="inlineStr">
        <is>
          <t>sin commitear</t>
        </is>
      </c>
      <c r="G49" s="11" t="inlineStr">
        <is>
          <t>No</t>
        </is>
      </c>
      <c r="H49" s="11" t="inlineStr">
        <is>
          <t>indicado por el usuario: 3 h para el dia; reparto por app y tarea estimado sobre ese total</t>
        </is>
      </c>
      <c r="J49" s="2" t="n"/>
      <c r="K49" s="2" t="n"/>
      <c r="L49" s="2" t="n"/>
      <c r="M49" s="2" t="n"/>
      <c r="N49" s="2" t="n"/>
      <c r="O49" s="2" t="n"/>
    </row>
    <row r="50" ht="15.75" customHeight="1" s="15">
      <c r="A50" s="6" t="n">
        <v>46285</v>
      </c>
      <c r="B50" s="11" t="inlineStr">
        <is>
          <t>BC</t>
        </is>
      </c>
      <c r="C50" s="11" t="inlineStr">
        <is>
          <t>BC-13</t>
        </is>
      </c>
      <c r="D50" s="11" t="n">
        <v>0.5</v>
      </c>
      <c r="E50" s="11" t="inlineStr">
        <is>
          <t>Cancelar la subida de un incidente, lado bodycam. Diagnostico de por que INC_000032 se subia una y otra vez: resumePending reencola en cada arranque y en cada apertura de la app todo incidente sin recibo de entrega, y el reintento no se rinde nunca por diseno. UploadCancel marca el incidente con un fichero dentro de su propio directorio (sobrevive a reinstalar y viaja con el incidente), ChunkedUploader corta ENTRE bloques (nunca a mitad de un PATCH) y mira la cancelacion en rodajas de 500 ms durante la espera entre reintentos. Cancelar NO borra el video: lo saca de la cola y se puede reencolar sin repetir un byte. Comandos BT UPLOAD_LIST, UPLOAD_CANCEL y UPLOAD_RESUME, mas atajo por adb. COMPILA, SIN PROBAR EN LA UNIDAD</t>
        </is>
      </c>
      <c r="F50" s="11" t="inlineStr">
        <is>
          <t>sin commitear</t>
        </is>
      </c>
      <c r="G50" s="11" t="inlineStr">
        <is>
          <t>No</t>
        </is>
      </c>
      <c r="H50" s="11" t="inlineStr">
        <is>
          <t>indicado por el usuario: 3 h para el dia; reparto por app y tarea estimado sobre ese total</t>
        </is>
      </c>
      <c r="J50" s="2" t="n"/>
      <c r="K50" s="2" t="n"/>
      <c r="L50" s="2" t="n"/>
      <c r="M50" s="2" t="n"/>
      <c r="N50" s="2" t="n"/>
      <c r="O50" s="2" t="n"/>
    </row>
    <row r="51" ht="15.75" customHeight="1" s="15">
      <c r="A51" s="6" t="n">
        <v>46285</v>
      </c>
      <c r="B51" s="11" t="inlineStr">
        <is>
          <t>AN</t>
        </is>
      </c>
      <c r="C51" s="11" t="inlineStr">
        <is>
          <t>AN-12</t>
        </is>
      </c>
      <c r="D51" s="11" t="n">
        <v>1</v>
      </c>
      <c r="E51" s="11" t="inlineStr">
        <is>
          <t>Pantalla de subidas de la bodycam en el movil. El telefono es el unico sitio con pantalla para ver la lista y decidir: la de la unidad mide 3 cm. Modelo SubidaDeEvidencia y flujo subidas en BodycamRepository (la lista llega en la linea UPLOADS y NO viaja en el STATUS de cada 5 s, que puede tener decenas de incidentes y no cambia sola), pantalla con tres estados DELIVERED / PENDING / CANCELLED, boton CANCEL con dialogo de confirmacion y QUEUE AGAIN para devolver a la cola, y ruta bodycam/uploads con boton UPLOADS en el controlador. El dialogo dice expresamente que el video se queda en la camara: si diera a entender que borra, nadie lo usaria. COMPILA, SIN PROBAR CON APARATOS</t>
        </is>
      </c>
      <c r="F51" s="11" t="inlineStr">
        <is>
          <t>sin commitear</t>
        </is>
      </c>
      <c r="G51" s="11" t="inlineStr">
        <is>
          <t>No</t>
        </is>
      </c>
      <c r="H51" s="11" t="inlineStr">
        <is>
          <t>indicado por el usuario: 3 h para el dia; reparto por app y tarea estimado sobre ese total</t>
        </is>
      </c>
      <c r="J51" s="2" t="n"/>
      <c r="K51" s="2" t="n"/>
      <c r="L51" s="2" t="n"/>
      <c r="M51" s="2" t="n"/>
      <c r="N51" s="2" t="n"/>
      <c r="O51" s="2" t="n"/>
    </row>
    <row r="52" ht="15.75" customHeight="1" s="15">
      <c r="A52" s="6" t="n">
        <v>46286</v>
      </c>
      <c r="B52" s="11" t="inlineStr">
        <is>
          <t>BC</t>
        </is>
      </c>
      <c r="C52" s="11" t="inlineStr">
        <is>
          <t>BC-11</t>
        </is>
      </c>
      <c r="D52" s="11" t="n">
        <v>1.5</v>
      </c>
      <c r="E52" s="11" t="inlineStr">
        <is>
          <t>Infrarrojos que no se apagaban y pantalla girada al abrir la app (los dos, observados por el usuario en la unidad). IR: los LEDs estaban atados al anillo armado, no a la grabacion, y como abrir la app arma el anillo para toda la guardia, a oscuras se quedaban encendidos para siempre; ahora solo alumbran grabando o emitiendo, con una entrada unica (sincronizarIr) colgada de los cambios de estado de captura y de emision para que se apaguen en la misma parada y no hasta 20 s despues. Arregladas ademas dos formas de dejarlos encendidos en sysfs sin nadie que los bajara: el irOn de un ciclo a medias pisando al irOff del cierre del servicio, y el parpadeo de medir, que ahora solo se paga cuando los LEDs estan dando luz. El filtro IR-CUT y el monocromo siguen atados al modo noche entero para no mover el motor en cada arranque y parada: el pre-roll nocturno queda sin LEDs, pendiente de validar con el cliente. PANTALLA: el giro de la unidad (-90 grados) lo aplicaba solo el overlay de RecordingActivity; MainActivity dibujaba el mismo ControlPanel sin girar, asi que el panel salia tumbado al abrir la app hasta que la pantalla de grabacion se ponia encima. Rotated pasa a compartirse y MainActivity se fija a landscape como RecordingActivity, que si no el mismo giro deja cada pantalla mirando a un lado. APAGADO DE LA UNIDAD (sesion de la noche, el mismo fallo por tercera via): apagar la bodycam grabando dejaba los infrarrojos encendidos, alumbrando con el aparato apagado, porque lo escrito en sysfs lo mantiene el kernel y sobrevive al proceso, y el apagado no pasa por ningun onDestroy. ApagadoReceiver escucha ACTION_SHUTDOWN y ACTION_REBOOT (registrado en codigo: con targetSdk 28 un receiver de apagado en el manifest no recibe nada) y apaga infrarrojo, LED, linterna, sensor y filtro en una sola llamada al shell; segundo veto en LedSignals para que el refresh de un cambio de estado no vuelva a encender el LED por detras, y BootReceiver como red del corte seco de bateria, que no emite ningun broadcast. Medido en la unidad: coste del apagado 4113 -&gt; 2069 ms, de los que 2070 son el motor del filtro IR-CUT (las luces, 27-44 ms), asi que el filtro va el ultimo de la lista. PROBADO EN LA UNIDAD: infrarrojo encendido 1441 lux, apagado 0, y el usuario confirmo el apagado real con el boton.</t>
        </is>
      </c>
      <c r="F52" s="11" t="inlineStr">
        <is>
          <t>sin commitear</t>
        </is>
      </c>
      <c r="G52" s="11" t="inlineStr">
        <is>
          <t>No</t>
        </is>
      </c>
      <c r="H52" s="11" t="inlineStr">
        <is>
          <t>indicado por el usuario: 1,5 h, sesion imputada al 21-sep a las 21:00 (1 h de la primera sesion mas 0,5 h de la de la noche)</t>
        </is>
      </c>
      <c r="J52" s="2" t="n"/>
      <c r="K52" s="2" t="n"/>
      <c r="L52" s="2" t="n"/>
      <c r="M52" s="2" t="n"/>
      <c r="N52" s="2" t="n"/>
      <c r="O52" s="2" t="n"/>
    </row>
    <row r="53" ht="15.75" customHeight="1" s="15">
      <c r="A53" s="6" t="n">
        <v>46287</v>
      </c>
      <c r="B53" s="11" t="inlineStr">
        <is>
          <t>BC</t>
        </is>
      </c>
      <c r="C53" s="11" t="inlineStr">
        <is>
          <t>BC-14</t>
        </is>
      </c>
      <c r="D53" s="11" t="n">
        <v>1.5</v>
      </c>
      <c r="E53" s="11" t="inlineStr">
        <is>
          <t>LED de estado como indicador de bateria: el LED de la unidad sigue diciendo si graba y, cuando no graba ni emite, dice la carga (verde &gt;=80, azul 40-79, rojo por debajo), con la bateria baja imponiendose al estado. Umbrales y prioridades decididos con el cliente. Incluye el nivel de bateria cacheado desde ACTION_BATTERY_CHANGED y una sola lectura del porcentaje compartida con el STATUS que lee el telefono.</t>
        </is>
      </c>
      <c r="F53" s="11" t="inlineStr">
        <is>
          <t>sin commitear</t>
        </is>
      </c>
      <c r="G53" s="11" t="inlineStr">
        <is>
          <t>No</t>
        </is>
      </c>
      <c r="H53" s="11" t="inlineStr">
        <is>
          <t>las indico el usuario</t>
        </is>
      </c>
      <c r="J53" s="2" t="n"/>
      <c r="K53" s="2" t="n"/>
      <c r="L53" s="2" t="n"/>
      <c r="M53" s="2" t="n"/>
      <c r="N53" s="2" t="n"/>
      <c r="O53" s="2" t="n"/>
    </row>
    <row r="54" ht="15.75" customHeight="1" s="15">
      <c r="A54" s="16" t="n"/>
      <c r="B54" s="17" t="n"/>
      <c r="C54" s="17" t="n"/>
      <c r="D54" s="17" t="n"/>
      <c r="E54" s="17" t="inlineStr">
        <is>
          <t>[ANULADO] 24-sep · BC · BC-15 · 3 h — Asistente de instalacion y perfil de dispositivo: la bodycam de produccion sera de otro fabricante y no la tendremos. La app aprende SOS, GRABAR y PTT pulsandolos (broadcast del fabricante, accesibilidad o la propia pantalla; una sola via por boton), comprueba cada boton con la pantalla apagada y prueba el infrarrojo con el sensor de luz. Las rutas sysfs del hardware salen del perfil; la W1 se reconoce sola. Quitado el F3-&gt;IR / F4-&gt;linterna del servicio de accesibilidad, que chocaba con SOS y grabar</t>
        </is>
      </c>
      <c r="F54" s="17" t="inlineStr">
        <is>
          <t>cb6a247</t>
        </is>
      </c>
      <c r="G54" s="17" t="inlineStr">
        <is>
          <t>Anulado</t>
        </is>
      </c>
      <c r="H54" s="17" t="inlineStr">
        <is>
          <t>ANULADO por el usuario el 28-sep: no se contabiliza. Origen original: indicado por el usuario, 3 h</t>
        </is>
      </c>
      <c r="J54" s="2" t="n"/>
      <c r="K54" s="2" t="n"/>
      <c r="L54" s="2" t="n"/>
      <c r="M54" s="2" t="n"/>
      <c r="N54" s="2" t="n"/>
      <c r="O54" s="2" t="n"/>
    </row>
    <row r="55" ht="15.75" customHeight="1" s="15">
      <c r="A55" s="6" t="n">
        <v>46293</v>
      </c>
      <c r="B55" s="11" t="inlineStr">
        <is>
          <t>BC</t>
        </is>
      </c>
      <c r="C55" s="11" t="inlineStr">
        <is>
          <t>BC-7</t>
        </is>
      </c>
      <c r="D55" s="11" t="n">
        <v>0.5</v>
      </c>
      <c r="E55" s="11" t="inlineStr">
        <is>
          <t>Workflow 31 v2, canal Bluetooth cifrado (lado bodycam): emparejamiento AERIA-BWC-2 con clave ECDH efimera P-256 firmada dentro de la transcripcion, y todo lo que sigue a AUTH_OK como AES-256-GCM por linea (una clave por sentido con HKDF, contador implicito como IV, un fallo corta). Modo transicion por decision del usuario: sigue aceptando v1 y comandos en claro (EXIGIR_CANAL_CIFRADO=false), pero el TOKEN de la sesion ya solo por canal cifrado. Sin probar en la W1: las anclas no casan con las CA del backend</t>
        </is>
      </c>
      <c r="F55" s="11" t="inlineStr">
        <is>
          <t>sin commitear</t>
        </is>
      </c>
      <c r="G55" s="11" t="inlineStr">
        <is>
          <t>No</t>
        </is>
      </c>
      <c r="H55" s="11" t="inlineStr">
        <is>
          <t>indicado por el usuario: 1 h para el workflow 31; reparto 0,5 / 0,5 por app estimado</t>
        </is>
      </c>
      <c r="J55" s="2" t="n"/>
      <c r="K55" s="2" t="n"/>
      <c r="L55" s="2" t="n"/>
      <c r="M55" s="2" t="n"/>
      <c r="N55" s="2" t="n"/>
      <c r="O55" s="2" t="n"/>
    </row>
    <row r="56" ht="15.75" customHeight="1" s="15">
      <c r="A56" s="6" t="n">
        <v>46293</v>
      </c>
      <c r="B56" s="11" t="inlineStr">
        <is>
          <t>AN</t>
        </is>
      </c>
      <c r="C56" s="11" t="inlineStr">
        <is>
          <t>AN-3</t>
        </is>
      </c>
      <c r="D56" s="11" t="n">
        <v>0.5</v>
      </c>
      <c r="E56" s="11" t="inlineStr">
        <is>
          <t>Workflow 31 v2, canal Bluetooth cifrado (lado telefono): el telefono solo habla v2, instala el canal antes de marcar el enlace (el token no sale en claro) y encola los comandos mientras empareja. CanalCifrado.kt identico en las dos apps. 7 pruebas JVM nuevas (intermediario que cambia la clave, bodycam sin clave, trama repetida, reflejada y manipulada, canal en los dos sentidos, transcripcion v1 intacta): 13/13 pasan</t>
        </is>
      </c>
      <c r="F56" s="11" t="inlineStr">
        <is>
          <t>sin commitear</t>
        </is>
      </c>
      <c r="G56" s="11" t="inlineStr">
        <is>
          <t>No</t>
        </is>
      </c>
      <c r="H56" s="11" t="inlineStr">
        <is>
          <t>indicado por el usuario: 1 h para el workflow 31; reparto 0,5 / 0,5 por app estimado</t>
        </is>
      </c>
      <c r="J56" s="2" t="n"/>
      <c r="K56" s="2" t="n"/>
      <c r="L56" s="2" t="n"/>
      <c r="M56" s="2" t="n"/>
      <c r="N56" s="2" t="n"/>
      <c r="O56" s="2" t="n"/>
    </row>
    <row r="57" ht="15.75" customHeight="1" s="15">
      <c r="A57" s="6" t="n">
        <v>46293</v>
      </c>
      <c r="B57" s="11" t="inlineStr">
        <is>
          <t>BC</t>
        </is>
      </c>
      <c r="C57" s="11" t="inlineStr">
        <is>
          <t>BC-7</t>
        </is>
      </c>
      <c r="D57" s="11" t="n">
        <v>0.5</v>
      </c>
      <c r="E57" s="11" t="inlineStr">
        <is>
          <t>Identidad de la bodycam y alta en el IAM (opcion B). El BWC-xxxx pasa a salir del serial (4 hex del SHA-256 de Build.getSerial()): reinstalar ya no cambia el id ni deja huerfana la credencial; el choque entre unidades lo para el guion antes de mandar nada. READ_PHONE_STATE concedido por el device owner o por el guion. Alta de la W1 contra el backend: BWC-7D6F, certificado de AeriaOne Device Identity CA y las dos anclas, PROBADO EN LA UNIDAD. Analisis de contestar al SOS por voz (PTT en el directo), encargado a la sesion AN</t>
        </is>
      </c>
      <c r="F57" s="11" t="inlineStr">
        <is>
          <t>58493ba + sin commitear</t>
        </is>
      </c>
      <c r="G57" s="11" t="inlineStr">
        <is>
          <t>No</t>
        </is>
      </c>
      <c r="H57" s="11" t="inlineStr">
        <is>
          <t>reloj de sesion 23:25-23:58 (0,55 h), redondeado al alza; la sesion entera 23:25-00:20 se parte en dos filas</t>
        </is>
      </c>
      <c r="J57" s="2" t="n"/>
      <c r="K57" s="2" t="n"/>
      <c r="L57" s="2" t="n"/>
      <c r="M57" s="2" t="n"/>
      <c r="N57" s="2" t="n"/>
      <c r="O57" s="2" t="n"/>
    </row>
    <row r="58" ht="15.75" customHeight="1" s="15">
      <c r="A58" s="6" t="n">
        <v>46293</v>
      </c>
      <c r="B58" s="11" t="inlineStr">
        <is>
          <t>BC</t>
        </is>
      </c>
      <c r="C58" s="11" t="inlineStr">
        <is>
          <t>BC-16</t>
        </is>
      </c>
      <c r="D58" s="11" t="n">
        <v>0.5</v>
      </c>
      <c r="E58" s="11" t="inlineStr">
        <is>
          <t>Alta de aparatos a distancia para el manager, que prueba en otro pais sin ordenador y con APK de release: analisis de por que no se conectan (el alta solo va por adb), propuesta de alta de la bodycam a traves del movil para el 29-sep y version piloto sin identidad (flag PILOTO_SIN_IDENTIDAD en la bodycam; el movil ya lo cubre con SIMULADOR_CONFIANZA_EN_RELEASE). COMPILA A MEDIAS: la compilacion final quedo bloqueada por permisos</t>
        </is>
      </c>
      <c r="F58" s="11" t="inlineStr">
        <is>
          <t>sin commitear</t>
        </is>
      </c>
      <c r="G58" s="11" t="inlineStr">
        <is>
          <t>No</t>
        </is>
      </c>
      <c r="H58" s="11" t="inlineStr">
        <is>
          <t>reloj de sesion 23:58-00:20 (0,4 h), redondeado al alza</t>
        </is>
      </c>
      <c r="J58" s="2" t="n"/>
      <c r="K58" s="2" t="n"/>
      <c r="L58" s="2" t="n"/>
      <c r="M58" s="2" t="n"/>
      <c r="N58" s="2" t="n"/>
      <c r="O58" s="2" t="n"/>
    </row>
    <row r="59" ht="15.75" customHeight="1" s="15">
      <c r="A59" s="6" t="n">
        <v>46293</v>
      </c>
      <c r="B59" s="11" t="inlineStr">
        <is>
          <t>AN</t>
        </is>
      </c>
      <c r="C59" s="11" t="inlineStr">
        <is>
          <t>AN-2</t>
        </is>
      </c>
      <c r="D59" s="11" t="n">
        <v>0.5</v>
      </c>
      <c r="E59" s="11" t="inlineStr">
        <is>
          <t>AN-0: el telefono guarda el ancla de perifericos (device_ca_pem) que le devuelve su propia alta, sin la cual rechazaria a una W1 dada de alta en el IAM. Wf 53: con la credencial caducada el telefono se bloquea salvo mientras graba (camara, audio, SOS, bodycam o gafas), y desata la W1 con el motivo CADUCIDAD. Compila y pasan las pruebas de la politica; SIN PROBAR EN APARATO</t>
        </is>
      </c>
      <c r="F59" s="11" t="inlineStr">
        <is>
          <t>2516769 + sin commitear</t>
        </is>
      </c>
      <c r="G59" s="11" t="inlineStr">
        <is>
          <t>No</t>
        </is>
      </c>
      <c r="H59" s="11" t="inlineStr">
        <is>
          <t>marcas de fichero de la sesion AN: 23:20-23:30 y 23:40-23:55; los 35 min de la sesion AN se redondean al alza a 1 h y se reparten 0,5 / 0,5</t>
        </is>
      </c>
      <c r="J59" s="2" t="n"/>
      <c r="K59" s="2" t="n"/>
      <c r="L59" s="2" t="n"/>
      <c r="M59" s="2" t="n"/>
      <c r="N59" s="2" t="n"/>
      <c r="O59" s="2" t="n"/>
    </row>
    <row r="60" ht="15.75" customHeight="1" s="15">
      <c r="A60" s="6" t="n">
        <v>46293</v>
      </c>
      <c r="B60" s="11" t="inlineStr">
        <is>
          <t>AN</t>
        </is>
      </c>
      <c r="C60" s="11" t="inlineStr">
        <is>
          <t>AN-4</t>
        </is>
      </c>
      <c r="D60" s="11" t="n">
        <v>0.5</v>
      </c>
      <c r="E60" s="11" t="inlineStr">
        <is>
          <t>PTT en el directo del SOS: boton de mantener para hablar en la pantalla del livestream, para que los agentes que ven un SOS puedan contestar al que lo emite (decision del usuario: voz por PTT, ni texto ni conferencia). Mismos tonos y permiso que en Operations, aviso de PTT pisado; la banda de quien habla baja para no tapar el boton de volver. Compila, SIN PROBAR EN APARATO</t>
        </is>
      </c>
      <c r="F60" s="11" t="inlineStr">
        <is>
          <t>2516769</t>
        </is>
      </c>
      <c r="G60" s="11" t="inlineStr">
        <is>
          <t>No</t>
        </is>
      </c>
      <c r="H60" s="11" t="inlineStr">
        <is>
          <t>marcas de fichero de la sesion AN: 23:30-23:40; ver fila anterior para el redondeo</t>
        </is>
      </c>
      <c r="J60" s="2" t="n"/>
      <c r="K60" s="2" t="n"/>
      <c r="L60" s="2" t="n"/>
      <c r="M60" s="2" t="n"/>
      <c r="N60" s="2" t="n"/>
      <c r="O60" s="2" t="n"/>
    </row>
    <row r="61" ht="15.75" customHeight="1" s="15">
      <c r="A61" s="6" t="n">
        <v>46294</v>
      </c>
      <c r="B61" s="11" t="inlineStr">
        <is>
          <t>AN</t>
        </is>
      </c>
      <c r="C61" s="11" t="inlineStr">
        <is>
          <t>AN-13</t>
        </is>
      </c>
      <c r="D61" s="11" t="n">
        <v>2.5</v>
      </c>
      <c r="E61" s="11" t="inlineStr">
        <is>
          <t>SOS con directo (peticion del usuario). Mapa: el circulo amarillo de un agente en SOS se puede tocar y abre el aviso SOS active / VIEW LIVESTREAM (dos botones si emite desde el telefono y la bodycam); el telefono atado anuncia su bodycam en la posicion para situar en el mapa el SOS de la W1, que no tiene GPS. Directo del receptor: PTT conmutador (boton sacado de Operations a ui/components) y MUTED local. Directo del emisor: MIC ON/OFF (arranca abierto) y OTHERS ON/OFF, solo volumen local para no perder nada en la grabacion de la nube, con registro en el diario de auditoria. Tono de SOS configurable (OFF / DISCREET / LOUD) en el perfil, mandado a la W1 por BT (SOS_TONE); camara y micro se publican al acabar el tono. Coordinacion con la sesion de la bodycam (doble F2 en lugar de pulsacion larga, que el firmware no permite; micro abierto en el SOS de la W1). Probado en el Samsung y la W1: SOS_TONE, tono, micro y silencios, restauracion al cancelar, diario y directo de la W1 con MUTED. Arreglados en la prueba: banda de PTT que tapaba la barra del directo y texto partido.</t>
        </is>
      </c>
      <c r="F61" s="11" t="inlineStr">
        <is>
          <t>sin commitear</t>
        </is>
      </c>
      <c r="G61" s="11" t="inlineStr">
        <is>
          <t>No</t>
        </is>
      </c>
      <c r="H61" s="11" t="inlineStr">
        <is>
          <t>indicado por el usuario: 2,5 h. Reloj de la sesion: ~13:10-13:55 y 14:58-15:10 (~0,95 h medidas, inicio estimado); el resto es el tiempo del usuario instalando y probando a mano</t>
        </is>
      </c>
      <c r="J61" s="2" t="n"/>
      <c r="K61" s="2" t="n"/>
      <c r="L61" s="2" t="n"/>
      <c r="M61" s="2" t="n"/>
      <c r="N61" s="2" t="n"/>
      <c r="O61" s="2" t="n"/>
    </row>
    <row r="62" ht="15.75" customHeight="1" s="15">
      <c r="A62" s="6" t="n"/>
      <c r="B62" s="11" t="n"/>
      <c r="C62" s="11" t="n"/>
      <c r="D62" s="11" t="n"/>
      <c r="E62" s="11" t="n"/>
      <c r="F62" s="11" t="n"/>
      <c r="G62" s="11" t="n"/>
      <c r="H62" s="11" t="n"/>
      <c r="J62" s="2" t="n"/>
      <c r="K62" s="2" t="n"/>
      <c r="L62" s="2" t="n"/>
      <c r="M62" s="2" t="n"/>
      <c r="N62" s="2" t="n"/>
      <c r="O62" s="2" t="n"/>
    </row>
    <row r="63" ht="15.75" customHeight="1" s="15">
      <c r="A63" s="6" t="n"/>
      <c r="B63" s="11" t="n"/>
      <c r="C63" s="11" t="n"/>
      <c r="D63" s="11" t="n"/>
      <c r="E63" s="11" t="n"/>
      <c r="F63" s="11" t="n"/>
      <c r="G63" s="11" t="n"/>
      <c r="H63" s="11" t="n"/>
      <c r="J63" s="2" t="n"/>
      <c r="K63" s="2" t="n"/>
      <c r="L63" s="2" t="n"/>
      <c r="M63" s="2" t="n"/>
      <c r="N63" s="2" t="n"/>
      <c r="O63" s="2" t="n"/>
    </row>
    <row r="64" ht="15.75" customHeight="1" s="15">
      <c r="A64" s="6" t="n"/>
      <c r="B64" s="11" t="n"/>
      <c r="C64" s="11" t="n"/>
      <c r="D64" s="11" t="n"/>
      <c r="E64" s="11" t="n"/>
      <c r="F64" s="11" t="n"/>
      <c r="G64" s="11" t="n"/>
      <c r="H64" s="11" t="n"/>
      <c r="J64" s="2" t="n"/>
      <c r="K64" s="2" t="n"/>
      <c r="L64" s="2" t="n"/>
      <c r="M64" s="2" t="n"/>
      <c r="N64" s="2" t="n"/>
      <c r="O64" s="2" t="n"/>
    </row>
    <row r="65" ht="15.75" customHeight="1" s="15">
      <c r="A65" s="6" t="n"/>
      <c r="B65" s="11" t="n"/>
      <c r="C65" s="11" t="n"/>
      <c r="D65" s="11" t="n"/>
      <c r="E65" s="11" t="n"/>
      <c r="F65" s="11" t="n"/>
      <c r="G65" s="11" t="n"/>
      <c r="H65" s="11" t="n"/>
      <c r="J65" s="2" t="n"/>
      <c r="K65" s="2" t="n"/>
      <c r="L65" s="2" t="n"/>
      <c r="M65" s="2" t="n"/>
      <c r="N65" s="2" t="n"/>
      <c r="O65" s="2" t="n"/>
    </row>
    <row r="66" ht="15.75" customHeight="1" s="15">
      <c r="A66" s="2" t="n"/>
      <c r="B66" s="2" t="n"/>
      <c r="C66" s="10" t="inlineStr">
        <is>
          <t>TOTAL HORAS</t>
        </is>
      </c>
      <c r="D66" s="10">
        <f>SUM($D$4:$D$65)</f>
        <v/>
      </c>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57.75" customHeight="1" s="15">
      <c r="A68" s="14"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   13 DE SEPTIEMBRE: AN-8 = rele de la bodycam a las gafas FalconOne, mas repaso de interfaz. El oficial pulsa grabar o el SOS del pecho y las gafas graban solas; el telefono hace de puente porque las gafas solo entienden el SDK del fabricante, que corre en Android. Incluye canal BLE permanente, estado de grabacion honesto, aviso de video pendiente, descarga por WiFi hasta la boveda cifrada, aviso sonoro si un SOS se queda sin gafas, textos en ingles, barra superior unificada con el patron de Android, renombrado a FalconOne y arreglos de la revision (boveda que reventaba al abrirse, nombres de fichero que se pisaban, excepcion de API 28 con minSdk 26 y descarga colgada al caerse el WiFi). Verificado contra el hardware el mismo dia. Las horas salen de marcas de fichero 15:13-23:25 (8,2 h medidas) redondeadas al alza a 8,5 h segun la regla de redondeo; NO se cuenta el analisis inicial de esta propia tabla, que fue antes de la primera marca. Lineas del 13: 2.882 anadidas medidas con git sobre los cinco commits del dia; de ellas 527 son sondas de depuracion que NO van a release.   14 DE SEPTIEMBRE: AN-9 y BC-10 = enlace con la bodycam sin MAC compilada (seleccion desde la app y unidad visible 5 min al arrancar) y uid de Agora propio por bodycam. BC-8 (PTT) = medicion de la unidad escuchando el canal. Las horas salen del reloj de sesion 19:36-19:52 y 21:53-23:50 (2,2 h medidas), redondeadas al alza a 2,5 h; el reparto 1,3 AN / 0,6 + 0,6 BC es estimacion. NO se cuenta el hueco 19:52-21:34, en el que la sesion esperaba el resultado de una prueba en el Redmi y la maquina se reinicio. Lineas del 14, sin commitear, medidas con git: 638 en AN (44 de ellas de prueba JVM) y 291 en BC, de las cuales 180 son la sonda de depuracion que NO va a release.   15 DE SEPTIEMBRE: AN-4 y BC-8 (PTT). BC-8 = la bodycam escucha el canal todo el tiempo para que el PTT de los telefonos suene por su altavoz (punto 1 de los requisitos del 14-sep). AN-4 = boton de PTT del telefono de un toque, y diagnostico de que Nexus no vuelve al canal tras perder la conexion (documentado, sin arreglar). Las horas salen del reloj de sesion 12:28-13:07 (0,65 h medidas), redondeadas al alza a 1 h; el reparto 0,5 / 0,5 es estimacion sobre las marcas de fichero (BodyCamServer 12:34-12:49, Nexus 12:59-13:04). Lineas del 15, sin commitear, medidas con git: 308 anadidas en BC (de ellas 279 en LivestreamService, reescrito: salen tambien 216) y 22 en AN.   15 DE SEPTIEMBRE, TARDE: AN-4 = reconexion al canal de Agora (el telefono se quedaba fuera sin avisar). AN-2 = revision del IAM y workflows 5 (cambio de PIN) y 30 (fin de turno). AN-10 (bloque nuevo) = auditoria local, workflows 61 y 46. Las horas salen del reloj de sesion 13:34-14:05 y 14:22-15:06 (1,25 h medidas), redondeadas al alza a 1,5 h; el reparto 0,3 / 0,6 / 0,6 es estimacion sobre la hora de cada peticion. NO se cuentan 13:20-13:34, que fue anotar en esta tabla las horas de la manana, ni 14:05-14:22, espera a que se desbloqueara el telefono de pruebas. Lineas .kt: 176 de la reconexion (commit 49d8c20, sin las 22 del boton de PTT ya contadas en la fila 33); unas 529 de los wf 5 y 30 y unas 903 de los wf 61 y 46, de ellas 96 de pruebas JVM, sin commitear; el reparto entre bloques de los ficheros compartidos (IdentityRepository, ProfileScreen, AppNavHost, AppContainer) es estimacion.   15 DE SEPTIEMBRE, FINAL DE LA TARDE: AN-5 (gafas) = selector de gafas sin MAC compilada, y arreglo de la conexion en Android 11 (el SDK del fabricante comprobaba un permiso que en esa version no existe). Las 2 h las indico el usuario; la sesion registra 0,85 h activas (15:06-15:27, 16:03-16:26 y 16:41-16:48) y los huecos 15:27-16:03 y 16:26-16:41 fueron del usuario con la release del manager y las pruebas en el Redmi. Reparto 1 / 1 estimado. Lineas .kt sin commitear, medidas con git: 378 (unas 343 del selector y unas 35 del arreglo de Android 11).   15 DE SEPTIEMBRE, NOCHE: AN-4 (PTT) = aviso de PTT pisado, con tono de tres pitidos y boton ambar cuando dos agentes hablan a la vez. La hora la indico el usuario. Lineas .kt sin commitear, medidas con git: 126 en AN (19 del atajo de debug) y 11 en BC (el tono gemelo en PttTones).   RANGO DE FORMULAS: ampliado el 14-sep de la fila 29 a la 33 y el 15-sep a la 43; el total esta en la fila 44 y esta leyenda en la 46. El 18-sep se amplio a la 55: total en la 56 y esta leyenda en la 58. Libres las filas 49-55. Al volver a ampliar, cambiar $55 en D56 y en K8, L5-L8 y N5-N7.   16 Y 17 DE SEPTIEMBRE, BACKEND (aplicacion NX, nueva): NX es el tercer repositorio, aeria-nexus, que hasta hoy no estaba en este libro aunque llevaba dos dias de trabajo. Django 5 + DRF + Celery y el panel Next.js, mas el repositorio de contratos aeria-contracts, que se imputa aqui porque nacio dentro de estas mismas sesiones. NX-1 = contratos, simulador de cliente, costuras de portabilidad e identidad F1-F6. NX-2 = ingesta de evidencia por tus y enlace de la subida con el analisis. NX-3 = coste medido, arreglos y puesta a punto para la demostracion al manager.   ORIGEN DE LAS HORAS DEL BACKEND: las dos filas del 16 salen de las marcas de los commits, 15:32 (primer commit de contratos) a 23:42 (ultimo del backend), 8,15 h medidas; el corte entre NX-1 y NX-2 es el commit de las 18:47, que cierra identidad. Cada tramo se redondea al alza al medio punto por separado (3,25-&gt;3,5 y 4,9-&gt;5), asi que la suma imputada del dia es 8,5. NO se cuenta nada anterior al primer commit. Las 2,5 h del 17 las indico el usuario: esa sesion no dejo commits, se prolongo pasada la medianoche y se imputa entera al 17.   LINEAS DE CODIGO DEL BACKEND: 10.475, medidas con git y contando solo codigo (.py, .ts, .tsx). Del 16 son 9.871 en diez commits; del 17, 604 sin commitear (469 de cuatro ficheros nuevos y 135 de modificaciones). NO se cuentan 2.210 lineas de documentacion en Markdown de los dos dias, ni las 1.028 del simulador de cliente y 456 del OpenAPI que viven en aeria-contracts, aunque se escribieran en estas sesiones: quedan anotadas aqui por si se decide sumarlas.   18 DE SEPTIEMBRE: NX-4 (bloque nuevo) = evidencia del telefono en el backend y el panel. AN-11 (bloque nuevo) = conexion de la app con el backend (IAM real, sesion, subida autenticada, manifiesto y ubicacion). NX-1 y NX-3 se reutilizan para el acceso al panel y los arreglos del panel de la manana.   ORIGEN DE LAS HORAS DEL 18: el total de 4 h lo indico el usuario. El reloj de la sesion de backend va de 10:15:48 a 14:28:12 (4,21 h) y la sesion de la app siguio hasta las 15:25; las marcas de fichero (10:58, 11:23, 12:27, 13:40) lo corroboran. El reparto 0,8 / 0,4 / 1,3 / 1,5 entre los tramos A, B y C (backend y app) es estimacion sobre ese total.   LINEAS DEL 18, sin commitear: NX 833 medidas con git sin documentacion (tramo A +209, B +105 y C +519); AN 933 (511 en ficheros existentes y 422 en nuevos). NO se cuentan las 121 lineas de documentacion de aeria-contracts.   18 DE SEPTIEMBRE, BODYCAM: BC-11 (bloque nuevo) = modo noche automatico de la W1 (LEDs IR, filtro IR-CUT, sensor de luz y blanco y negro en grabacion y SOS). Las horas salen de las marcas de fichero y del reloj de sesion 15:21-16:42 (1,35 h medidas), redondeadas al alza a 1,5 h; incluyen las dos pruebas en la unidad. Lineas .kt sin commitear, medidas con git: 310 en BC (253 en ModoNoche y MonocromoSos, nuevos, y 57 en modificaciones). El SOS en monocromo compila y esta instalado, pero queda pendiente de probar con la unidad.   20 DE SEPTIEMBRE: BC-12 (bloque nuevo) = modo kiosco de la unidad con device owner, en la rama dev_device_owner, mas el analisis de las tres vias de control y el destripado de la APK del fabricante. BC-13 y AN-12 (bloques nuevos) = cancelar desde el movil la subida de un incidente, que hasta hoy no se podia parar nunca. Las 3 h del dia las indico el usuario; el reparto 1,5 / 0,5 / 1 es estimacion. NADA de lo de hoy se ha probado en aparatos: no habia ni bodycam ni telefono conectados, las dos apps solo compilan. Lineas .kt sin commitear, medidas con git: 665 en BC (535 de tres ficheros nuevos, DeviceOwner, FalconDeviceAdmin y UploadCancel, y 130 de modificaciones) y 432 en AN (353 de dos ficheros nuevos y 79 de modificaciones); el reparto de las lineas de BC entre BC-12 y BC-13 es estimacion. NO se cuentan las lineas de tools/kiosco.sh ni las de los dos DEVLOG.   21 DE SEPTIEMBRE: BC-11 (modo noche, ya existente) = arreglo de los LEDs infrarrojos, que no se apagaban al parar de grabar, del giro de la pantalla de MainActivity y, en la sesion de la noche, del apagado de la unidad, que dejaba los infrarrojos encendidos con la bodycam apagada. Los tres fallos los observo el usuario en la unidad. Va en BC-11 y no en un bloque nuevo porque todo es corregir el modo noche entregado el 18-sep. DECISION DEL USUARIO: los IR se apagan al parar la grabacion, aunque el anillo siga armado; queda por validar con el cliente que el pre-roll nocturno de 20 s se grabe sin ellos. HORAS: las indico el usuario, que fijo la imputacion el 21-sep a las 21:00 y las subio de 1 a 1,5 h al cerrar la sesion de la noche; el trabajo se hizo entre la tarde del 20-sep y la madrugada del 21. PROBADO EN LA UNIDAD, a diferencia de lo que decia esta leyenda antes: con la bodycam por adb se midio el apagado (infrarrojo encendido 1441 lux, apagado 0) y el usuario confirmo el apagado real desde el boton. El ensayo hizo falta montarlo aparte porque ACTION_SHUTDOWN es un broadcast protegido que adb no puede enviar y la unidad es build user sin root. Medido de paso: la escritura del motor del filtro IR-CUT bloquea 2070 ms, frente a 27-44 ms de cada luz. Lineas .kt sin commitear, medidas con git: 107 anadidas y 20 borradas de la primera sesion, mas unas 230 anadidas (112 de ellas ApagadoReceiver, fichero nuevo) y 21 borradas de la sesion de la noche; buena parte es comentario y KDoc de por que. No se cuentan las 6 del AndroidManifest ni las de los DEVLOG.   22 DE SEPTIEMBRE: BC-14 (bloque nuevo) = el LED de estado pasa a ser tambien indicador de bateria, pedido por el cliente ese dia. No caben las dos senales en un LED y el nodo no tiene verde ni azul parpadeando, asi que el cliente decidio el reparto: el estado manda (grabando rojo parpadeo, emitiendo amarillo parpadeo) salvo por debajo del 40 %, que se impone a todo. Se sacrifica el azul de anillo armado, que solo queda en la pantalla y en el STATUS del telefono; el protocolo con el movil no cambia. PENDIENTE DE VER EN LA UNIDAD: no habia bodycam conectada, la app solo compila, y el rojo fijo usa el valor 6 del nodo, de la franja 1-6 que nunca se ha comprobado a mano. Las 1,5 h las indico el usuario. Lineas .kt sin commitear, medidas con git: 166 anadidas y 24 borradas en cuatro ficheros; buena parte es KDoc del porque del reparto de colores.   24 DE SEPTIEMBRE, ANULADO: la fila 54 (BC-15, asistente de instalacion y perfil de dispositivo, 3 h, commit cb6a247) queda TACHADA y NO se contabiliza, por decision del usuario el 28-sep: se volvio a la version estandar sin el asistente, que queda aparcado en la rama dev_install_assistant. Se vaciaron fecha, app, bloque y horas de esa fila para que las formulas no cuenten ni las horas ni el dia ni el bloque; los datos originales siguen en el texto. Las 1.402 lineas de ese commit se restaron de las del mes.   28 DE SEPTIEMBRE: BC-7 y AN-3 (emparejamiento, ya existentes) = workflow 31 v2, el canal Bluetooth entre telefono y bodycam pasa a ir cifrado (ECDH efimero firmado + AES-256-GCM por linea). Hasta hoy el token de la sesion del agente, prestado a la bodycam desde el 25-sep, viajaba en claro. Modo transicion por decision del usuario: la bodycam sigue aceptando telefonos sin cifrar mientras sus anclas no casen con las CA del backend; el token ya solo va cifrado. SIN PROBAR EN APARATOS: hoy ningun telefono se acredita ante la W1. La 1 h la indico el usuario; el reparto 0,5 / 0,5 es estimacion. Lineas .kt sin commitear, medidas con git: 326 anadidas en BC (161 de CanalCifrado, nuevo; 74 en Emparejamiento y 91 en BtServerService) y unas 426 en AN (161 de CanalCifrado, 64 en EmparejamientoBodycam, 135 de pruebas JVM y unas 66 en BodycamRepository; esta ultima es estimacion, porque el fichero lleva tambien cambios sin commitear de otra sesion).   RANGO AMPLIADO el 28-sep de la fila 55 a la 65: total en la 66 y esta leyenda en la 68. FILAS LIBRES: 57-65; al agotarlas hay que ampliar $65 en D66, K8, L5-L8 y N5-N7.   28 DE SEPTIEMBRE, NOCHE (sesiones en paralelo BC y AN, filas 57-60): BC-7 = BWC derivado del serial y alta de la W1 en el IAM, probada en la unidad. BC-16 (bloque nuevo) = alta de aparatos a distancia y version piloto sin identidad para el manager. AN-2 = AN-0 (ancla de perifericos del alta) y wf 53 (caducidad de la credencial). AN-4 = PTT en el directo del SOS. ORIGEN: BC, reloj de su sesion 23:25-00:20 (0,9 h) partido en 0,55 + 0,4 y redondeado al alza a 0,5 + 0,5; AN, marcas de fichero 23:20-23:55 (0,6 h) que dio la propia sesion AN, redondeadas al alza a 1 h y repartidas 0,5 / 0,5 por estimacion. LINEAS .kt medidas con git: BC 94 (74 en el commit 58493ba sin contar UploadService, que es del 28 por la tarde, y 20 sin commitear); no se cuentan las 265 del guion tools/alta-bodycam-iam.sh. AN unas 596 (181 en el commit 2516769, 114 modificadas y 301 en ficheros nuevos sin commitear del wf 53, pruebas JVM incluidas). FILAS LIBRES: 62-65.   29 DE SEPTIEMBRE (fila 61): AN-13 (bloque nuevo) = SOS con directo: circulo del mapa que abre el directo, silencios locales de emisor y receptor, micro del emisor conmutable y tono de SOS configurable. ORIGEN: 2,5 h indicadas por el usuario; el reloj de la sesion daba ~0,95 h (13:10-13:55 con el inicio estimado, y 14:58-15:10 de pruebas en aparato), y el resto es su tiempo instalando y probando. La parte de la bodycam (tono, doble F2, micro en SOS) la hizo la sesion BC y va aparte. LINEAS .kt sin commitear, medidas con git: unas 800 en AN (458 en cinco ficheros nuevos; unas 90 son el boton PTT movido de Operations, no codigo nuevo).</t>
        </is>
      </c>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3">
    <mergeCell ref="A68:H68"/>
    <mergeCell ref="A2:H2"/>
    <mergeCell ref="A1:H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2026-09-29T14:18:55Z</dcterms:modified>
</cp:coreProperties>
</file>