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2026-08" sheetId="1" state="visible" r:id="rId1"/>
    <sheet xmlns:r="http://schemas.openxmlformats.org/officeDocument/2006/relationships" name="2026-09" sheetId="2" state="visible" r:id="rId2"/>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quot;€&quot;"/>
    <numFmt numFmtId="167" formatCode="#,##0.00 €"/>
  </numFmts>
  <fonts count="15">
    <font>
      <name val="Arial"/>
      <color rgb="FF000000"/>
      <sz val="10"/>
      <scheme val="minor"/>
    </font>
    <font>
      <name val="Calibri"/>
      <b val="1"/>
      <color rgb="FFFFFFFF"/>
      <sz val="16"/>
    </font>
    <font/>
    <font>
      <name val="Calibri"/>
      <i val="1"/>
      <color rgb="FF606060"/>
      <sz val="9"/>
    </font>
    <font>
      <name val="Calibri"/>
      <b val="1"/>
      <color rgb="FFFFFFFF"/>
    </font>
    <font>
      <name val="Calibri"/>
      <color theme="1"/>
      <sz val="11"/>
    </font>
    <font>
      <name val="Calibri"/>
      <b val="1"/>
      <color rgb="FF1F3864"/>
      <sz val="12"/>
    </font>
    <font>
      <name val="Consolas"/>
      <color theme="1"/>
    </font>
    <font>
      <name val="Calibri"/>
      <b val="1"/>
      <color theme="1"/>
    </font>
    <font>
      <name val="Calibri"/>
      <b val="1"/>
      <color theme="1"/>
      <sz val="11"/>
    </font>
    <font>
      <b val="1"/>
    </font>
    <font>
      <name val="Calibri"/>
      <i val="1"/>
      <sz val="9"/>
    </font>
    <font>
      <name val="Calibri"/>
      <b val="1"/>
      <color rgb="001F3864"/>
      <sz val="12"/>
    </font>
    <font>
      <name val="Calibri"/>
      <b val="1"/>
      <color rgb="00FFFFFF"/>
      <sz val="10"/>
    </font>
    <font>
      <name val="Calibri"/>
      <b val="1"/>
      <color rgb="001F3864"/>
      <sz val="11"/>
    </font>
  </fonts>
  <fills count="9">
    <fill>
      <patternFill/>
    </fill>
    <fill>
      <patternFill patternType="lightGray"/>
    </fill>
    <fill>
      <patternFill patternType="solid">
        <fgColor rgb="FF1F3864"/>
        <bgColor rgb="FF1F3864"/>
      </patternFill>
    </fill>
    <fill>
      <patternFill patternType="solid">
        <fgColor rgb="FF2E5C9A"/>
        <bgColor rgb="FF2E5C9A"/>
      </patternFill>
    </fill>
    <fill>
      <patternFill patternType="solid">
        <fgColor rgb="FFFFF9E6"/>
        <bgColor rgb="FFFFF9E6"/>
      </patternFill>
    </fill>
    <fill>
      <patternFill patternType="solid">
        <fgColor rgb="FFEDF1F7"/>
        <bgColor rgb="FFEDF1F7"/>
      </patternFill>
    </fill>
    <fill>
      <patternFill patternType="solid">
        <fgColor rgb="FFFFF2CC"/>
        <bgColor rgb="FFFFF2CC"/>
      </patternFill>
    </fill>
    <fill>
      <patternFill patternType="solid">
        <fgColor rgb="00FFF2CC"/>
      </patternFill>
    </fill>
    <fill>
      <patternFill patternType="solid">
        <fgColor rgb="001F3864"/>
      </patternFill>
    </fill>
  </fills>
  <borders count="10">
    <border/>
    <border>
      <left/>
      <top/>
      <bottom/>
    </border>
    <border>
      <top/>
      <bottom/>
    </border>
    <border>
      <right/>
      <top/>
      <bottom/>
    </border>
    <border>
      <left style="thin">
        <color rgb="FFB8C4D9"/>
      </left>
      <right style="thin">
        <color rgb="FFB8C4D9"/>
      </right>
      <top style="thin">
        <color rgb="FFB8C4D9"/>
      </top>
      <bottom style="thin">
        <color rgb="FFB8C4D9"/>
      </bottom>
    </border>
    <border>
      <left/>
      <right/>
      <top/>
      <bottom/>
    </border>
    <border>
      <top style="thin">
        <color rgb="FFB8C4D9"/>
      </top>
    </border>
    <border>
      <right style="thin">
        <color rgb="FFB8C4D9"/>
      </right>
      <top style="thin">
        <color rgb="FFB8C4D9"/>
      </top>
    </border>
    <border>
      <top style="thin">
        <color rgb="FFB8C4D9"/>
      </top>
      <bottom style="thin">
        <color rgb="FFB8C4D9"/>
      </bottom>
    </border>
    <border>
      <right style="thin">
        <color rgb="FFB8C4D9"/>
      </right>
      <top style="thin">
        <color rgb="FFB8C4D9"/>
      </top>
      <bottom style="thin">
        <color rgb="FFB8C4D9"/>
      </bottom>
    </border>
  </borders>
  <cellStyleXfs count="1">
    <xf numFmtId="0" fontId="0" fillId="0" borderId="0"/>
  </cellStyleXfs>
  <cellXfs count="64">
    <xf numFmtId="0" fontId="0" fillId="0" borderId="0" applyAlignment="1" pivotButton="0" quotePrefix="0" xfId="0">
      <alignment vertical="bottom"/>
    </xf>
    <xf numFmtId="0" fontId="1" fillId="2" borderId="1" pivotButton="0" quotePrefix="0" xfId="0"/>
    <xf numFmtId="0" fontId="2" fillId="0" borderId="2" pivotButton="0" quotePrefix="0" xfId="0"/>
    <xf numFmtId="0" fontId="2" fillId="0" borderId="3" pivotButton="0" quotePrefix="0" xfId="0"/>
    <xf numFmtId="0" fontId="3" fillId="0" borderId="0" applyAlignment="1" pivotButton="0" quotePrefix="0" xfId="0">
      <alignment vertical="bottom"/>
    </xf>
    <xf numFmtId="0" fontId="4" fillId="3" borderId="4" applyAlignment="1" pivotButton="0" quotePrefix="0" xfId="0">
      <alignment horizontal="center"/>
    </xf>
    <xf numFmtId="0" fontId="5" fillId="0" borderId="0" applyAlignment="1" pivotButton="0" quotePrefix="0" xfId="0">
      <alignment vertical="bottom"/>
    </xf>
    <xf numFmtId="0" fontId="6" fillId="0" borderId="0" applyAlignment="1" pivotButton="0" quotePrefix="0" xfId="0">
      <alignment vertical="bottom"/>
    </xf>
    <xf numFmtId="164" fontId="5" fillId="0" borderId="4" applyAlignment="1" pivotButton="0" quotePrefix="0" xfId="0">
      <alignment horizontal="center"/>
    </xf>
    <xf numFmtId="0" fontId="5" fillId="0" borderId="4" applyAlignment="1" pivotButton="0" quotePrefix="0" xfId="0">
      <alignment horizontal="center"/>
    </xf>
    <xf numFmtId="165" fontId="5" fillId="4" borderId="4" applyAlignment="1" pivotButton="0" quotePrefix="0" xfId="0">
      <alignment horizontal="center"/>
    </xf>
    <xf numFmtId="0" fontId="5" fillId="0" borderId="4" applyAlignment="1" pivotButton="0" quotePrefix="0" xfId="0">
      <alignment wrapText="1"/>
    </xf>
    <xf numFmtId="0" fontId="7" fillId="0" borderId="4" applyAlignment="1" pivotButton="0" quotePrefix="0" xfId="0">
      <alignment horizontal="center"/>
    </xf>
    <xf numFmtId="0" fontId="5" fillId="0" borderId="4" applyAlignment="1" pivotButton="0" quotePrefix="0" xfId="0">
      <alignment vertical="bottom"/>
    </xf>
    <xf numFmtId="0" fontId="8" fillId="0" borderId="4" applyAlignment="1" pivotButton="0" quotePrefix="0" xfId="0">
      <alignment vertical="bottom"/>
    </xf>
    <xf numFmtId="3" fontId="5" fillId="0" borderId="4" applyAlignment="1" pivotButton="0" quotePrefix="0" xfId="0">
      <alignment horizontal="right"/>
    </xf>
    <xf numFmtId="165" fontId="5" fillId="0" borderId="4" applyAlignment="1" pivotButton="0" quotePrefix="0" xfId="0">
      <alignment horizontal="center"/>
    </xf>
    <xf numFmtId="166" fontId="5" fillId="0" borderId="4" applyAlignment="1" pivotButton="0" quotePrefix="0" xfId="0">
      <alignment horizontal="right"/>
    </xf>
    <xf numFmtId="0" fontId="5" fillId="0" borderId="4" pivotButton="0" quotePrefix="0" xfId="0"/>
    <xf numFmtId="0" fontId="8" fillId="5" borderId="4" applyAlignment="1" pivotButton="0" quotePrefix="0" xfId="0">
      <alignment vertical="bottom"/>
    </xf>
    <xf numFmtId="0" fontId="5" fillId="5" borderId="4" applyAlignment="1" pivotButton="0" quotePrefix="0" xfId="0">
      <alignment horizontal="center"/>
    </xf>
    <xf numFmtId="3" fontId="5" fillId="5" borderId="4" applyAlignment="1" pivotButton="0" quotePrefix="0" xfId="0">
      <alignment horizontal="right"/>
    </xf>
    <xf numFmtId="165" fontId="5" fillId="5" borderId="4" applyAlignment="1" pivotButton="0" quotePrefix="0" xfId="0">
      <alignment horizontal="center"/>
    </xf>
    <xf numFmtId="166" fontId="5" fillId="5" borderId="4" applyAlignment="1" pivotButton="0" quotePrefix="0" xfId="0">
      <alignment horizontal="right"/>
    </xf>
    <xf numFmtId="0" fontId="9" fillId="6" borderId="4" applyAlignment="1" pivotButton="0" quotePrefix="0" xfId="0">
      <alignment vertical="bottom"/>
    </xf>
    <xf numFmtId="0" fontId="9" fillId="6" borderId="4" applyAlignment="1" pivotButton="0" quotePrefix="0" xfId="0">
      <alignment horizontal="center"/>
    </xf>
    <xf numFmtId="3" fontId="9" fillId="6" borderId="4" applyAlignment="1" pivotButton="0" quotePrefix="0" xfId="0">
      <alignment horizontal="right"/>
    </xf>
    <xf numFmtId="165" fontId="9" fillId="6" borderId="4" applyAlignment="1" pivotButton="0" quotePrefix="0" xfId="0">
      <alignment horizontal="center"/>
    </xf>
    <xf numFmtId="166" fontId="9" fillId="6" borderId="4" applyAlignment="1" pivotButton="0" quotePrefix="0" xfId="0">
      <alignment horizontal="right"/>
    </xf>
    <xf numFmtId="164" fontId="5" fillId="5" borderId="4" applyAlignment="1" pivotButton="0" quotePrefix="0" xfId="0">
      <alignment horizontal="center"/>
    </xf>
    <xf numFmtId="0" fontId="5" fillId="5" borderId="4" applyAlignment="1" pivotButton="0" quotePrefix="0" xfId="0">
      <alignment wrapText="1"/>
    </xf>
    <xf numFmtId="0" fontId="7" fillId="5" borderId="4" applyAlignment="1" pivotButton="0" quotePrefix="0" xfId="0">
      <alignment horizontal="center"/>
    </xf>
    <xf numFmtId="0" fontId="5" fillId="5" borderId="4" applyAlignment="1" pivotButton="0" quotePrefix="0" xfId="0">
      <alignment vertical="bottom"/>
    </xf>
    <xf numFmtId="0" fontId="5" fillId="5" borderId="4" pivotButton="0" quotePrefix="0" xfId="0"/>
    <xf numFmtId="164" fontId="5" fillId="5" borderId="4" pivotButton="0" quotePrefix="0" xfId="0"/>
    <xf numFmtId="165" fontId="5" fillId="4" borderId="4" pivotButton="0" quotePrefix="0" xfId="0"/>
    <xf numFmtId="164" fontId="5" fillId="0" borderId="4" pivotButton="0" quotePrefix="0" xfId="0"/>
    <xf numFmtId="0" fontId="9" fillId="0" borderId="0" applyAlignment="1" pivotButton="0" quotePrefix="0" xfId="0">
      <alignment horizontal="right"/>
    </xf>
    <xf numFmtId="0" fontId="0" fillId="0" borderId="0" pivotButton="0" quotePrefix="0" xfId="0"/>
    <xf numFmtId="0" fontId="1" fillId="2" borderId="5" pivotButton="0" quotePrefix="0" xfId="0"/>
    <xf numFmtId="1" fontId="5" fillId="0" borderId="4" applyAlignment="1" pivotButton="0" quotePrefix="0" xfId="0">
      <alignment horizontal="center"/>
    </xf>
    <xf numFmtId="1" fontId="5" fillId="5" borderId="4" applyAlignment="1" pivotButton="0" quotePrefix="0" xfId="0">
      <alignment horizontal="center"/>
    </xf>
    <xf numFmtId="1" fontId="9" fillId="6" borderId="4" applyAlignment="1" pivotButton="0" quotePrefix="0" xfId="0">
      <alignment horizontal="center"/>
    </xf>
    <xf numFmtId="0" fontId="10" fillId="0" borderId="0" pivotButton="0" quotePrefix="0" xfId="0"/>
    <xf numFmtId="166" fontId="10" fillId="0" borderId="0" pivotButton="0" quotePrefix="0" xfId="0"/>
    <xf numFmtId="0" fontId="5" fillId="5" borderId="4" applyAlignment="1" pivotButton="0" quotePrefix="0" xfId="0">
      <alignment vertical="top"/>
    </xf>
    <xf numFmtId="165" fontId="5" fillId="4" borderId="4" applyAlignment="1" pivotButton="0" quotePrefix="0" xfId="0">
      <alignment vertical="top"/>
    </xf>
    <xf numFmtId="0" fontId="5" fillId="5" borderId="4" applyAlignment="1" pivotButton="0" quotePrefix="0" xfId="0">
      <alignment vertical="top" wrapText="1"/>
    </xf>
    <xf numFmtId="0" fontId="5" fillId="0" borderId="4" applyAlignment="1" pivotButton="0" quotePrefix="0" xfId="0">
      <alignment vertical="top"/>
    </xf>
    <xf numFmtId="0" fontId="5" fillId="0" borderId="4" applyAlignment="1" pivotButton="0" quotePrefix="0" xfId="0">
      <alignment vertical="top" wrapText="1"/>
    </xf>
    <xf numFmtId="164" fontId="11" fillId="7" borderId="4" applyAlignment="1" pivotButton="0" quotePrefix="0" xfId="0">
      <alignment vertical="top" wrapText="1"/>
    </xf>
    <xf numFmtId="0" fontId="0" fillId="0" borderId="8" pivotButton="0" quotePrefix="0" xfId="0"/>
    <xf numFmtId="0" fontId="0" fillId="0" borderId="9" pivotButton="0" quotePrefix="0" xfId="0"/>
    <xf numFmtId="0" fontId="12" fillId="0" borderId="0" pivotButton="0" quotePrefix="0" xfId="0"/>
    <xf numFmtId="0" fontId="11" fillId="0" borderId="0" applyAlignment="1" pivotButton="0" quotePrefix="0" xfId="0">
      <alignment vertical="top" wrapText="1"/>
    </xf>
    <xf numFmtId="0" fontId="13" fillId="8" borderId="0" applyAlignment="1" pivotButton="0" quotePrefix="0" xfId="0">
      <alignment horizontal="center" vertical="center" wrapText="1"/>
    </xf>
    <xf numFmtId="0" fontId="14" fillId="0" borderId="0" pivotButton="0" quotePrefix="0" xfId="0"/>
    <xf numFmtId="164" fontId="0" fillId="0" borderId="0" applyAlignment="1" pivotButton="0" quotePrefix="0" xfId="0">
      <alignment vertical="top" wrapText="1"/>
    </xf>
    <xf numFmtId="0" fontId="0" fillId="0" borderId="0" applyAlignment="1" pivotButton="0" quotePrefix="0" xfId="0">
      <alignment vertical="top" wrapText="1"/>
    </xf>
    <xf numFmtId="167" fontId="0" fillId="0" borderId="0" pivotButton="0" quotePrefix="0" xfId="0"/>
    <xf numFmtId="167" fontId="10" fillId="0" borderId="0" pivotButton="0" quotePrefix="0" xfId="0"/>
    <xf numFmtId="0" fontId="11" fillId="7" borderId="0" applyAlignment="1" pivotButton="0" quotePrefix="0" xfId="0">
      <alignment vertical="top" wrapText="1"/>
    </xf>
    <xf numFmtId="167" fontId="0" fillId="0" borderId="0" pivotButton="0" quotePrefix="0" xfId="0"/>
    <xf numFmtId="167" fontId="1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42"/>
  <sheetViews>
    <sheetView workbookViewId="0">
      <pane ySplit="3" topLeftCell="A4" activePane="bottomLeft" state="frozen"/>
      <selection pane="bottomLeft" activeCell="A1" sqref="A1"/>
    </sheetView>
  </sheetViews>
  <sheetFormatPr baseColWidth="8" defaultRowHeight="15"/>
  <cols>
    <col width="12" customWidth="1" style="38" min="1" max="1"/>
    <col width="6" customWidth="1" style="38" min="2" max="2"/>
    <col width="9" customWidth="1" style="38" min="3" max="3"/>
    <col width="7" customWidth="1" style="38" min="4" max="4"/>
    <col width="85" customWidth="1" style="38" min="5" max="5"/>
    <col width="22" customWidth="1" style="38" min="6" max="6"/>
    <col width="10" customWidth="1" style="38" min="7" max="7"/>
    <col width="34" customWidth="1" style="38" min="8" max="8"/>
    <col width="20" customWidth="1" style="38" min="10" max="10"/>
    <col width="30" customWidth="1" style="38" min="11" max="11"/>
    <col width="11" customWidth="1" style="38" min="12" max="12"/>
    <col width="14" customWidth="1" style="38" min="13" max="13"/>
    <col width="8" customWidth="1" style="38" min="14" max="14"/>
    <col width="11" customWidth="1" style="38" min="15" max="15"/>
  </cols>
  <sheetData>
    <row r="1">
      <c r="A1" s="53" t="inlineStr">
        <is>
          <t xml:space="preserve">  SESIONES DE TRABAJO — una fila por sesión</t>
        </is>
      </c>
    </row>
    <row r="2">
      <c r="A2" s="54" t="inlineStr">
        <is>
          <t>Una hora siempre se imputa a UNA app y a UN bloque. Si una sesión toca las dos apps, pártela en dos filas: si no, los subtotales por aplicación dejan de cuadrar.</t>
        </is>
      </c>
    </row>
    <row r="3">
      <c r="A3" s="55" t="inlineStr">
        <is>
          <t>Fecha</t>
        </is>
      </c>
      <c r="B3" s="55" t="inlineStr">
        <is>
          <t>App</t>
        </is>
      </c>
      <c r="C3" s="55" t="inlineStr">
        <is>
          <t>Bloque</t>
        </is>
      </c>
      <c r="D3" s="55" t="inlineStr">
        <is>
          <t>Horas</t>
        </is>
      </c>
      <c r="E3" s="55" t="inlineStr">
        <is>
          <t>Qué se hizo</t>
        </is>
      </c>
      <c r="F3" s="55" t="inlineStr">
        <is>
          <t>Commit(s)</t>
        </is>
      </c>
      <c r="G3" s="55" t="inlineStr">
        <is>
          <t>Facturado</t>
        </is>
      </c>
      <c r="H3" s="55" t="inlineStr">
        <is>
          <t>Origen del dato</t>
        </is>
      </c>
      <c r="J3" s="56" t="inlineStr">
        <is>
          <t>PENDIENTE DE FACTURAR — agosto 2026</t>
        </is>
      </c>
    </row>
    <row r="4">
      <c r="A4" s="57" t="n">
        <v>46243</v>
      </c>
      <c r="B4" s="58" t="inlineStr">
        <is>
          <t>BC</t>
        </is>
      </c>
      <c r="C4" s="58" t="inlineStr">
        <is>
          <t>BC-1</t>
        </is>
      </c>
      <c r="D4" s="58" t="n">
        <v>6</v>
      </c>
      <c r="E4" s="58" t="inlineStr">
        <is>
          <t>Grabación continua: EvidenceStore (buffer en anillo, pre-roll 120 s, segmentos 8 MB), reescritura de RecordingActivity, retirada de CameraController</t>
        </is>
      </c>
      <c r="F4" s="58" t="inlineStr">
        <is>
          <t>d4a4709</t>
        </is>
      </c>
      <c r="G4" s="58" t="inlineStr">
        <is>
          <t>No</t>
        </is>
      </c>
      <c r="H4" s="58" t="n"/>
      <c r="J4" s="55" t="inlineStr">
        <is>
          <t>Aplicación</t>
        </is>
      </c>
      <c r="K4" s="55" t="inlineStr">
        <is>
          <t>Bloques</t>
        </is>
      </c>
      <c r="L4" s="55" t="inlineStr">
        <is>
          <t>Días activ.</t>
        </is>
      </c>
      <c r="M4" s="55" t="inlineStr">
        <is>
          <t>Líneas código</t>
        </is>
      </c>
      <c r="N4" s="55" t="inlineStr">
        <is>
          <t>Horas</t>
        </is>
      </c>
      <c r="O4" s="55" t="inlineStr">
        <is>
          <t>Importe</t>
        </is>
      </c>
    </row>
    <row r="5">
      <c r="A5" s="57" t="n">
        <v>46248</v>
      </c>
      <c r="B5" s="58" t="inlineStr">
        <is>
          <t>BC</t>
        </is>
      </c>
      <c r="C5" s="58" t="inlineStr">
        <is>
          <t>BC-2</t>
        </is>
      </c>
      <c r="D5" s="58" t="n">
        <v>6</v>
      </c>
      <c r="E5" s="58" t="inlineStr">
        <is>
          <t>Cifrado (medicion): CryptoBenchmark (SHA-256 + AES-256-GCM por bloques), RecorderWatch (watchdog de grabaciones largas), endpoint /benchmark, fix de path traversal, 2 scripts Python, testing con videos reales</t>
        </is>
      </c>
      <c r="F5" s="58" t="inlineStr">
        <is>
          <t>sin commitear</t>
        </is>
      </c>
      <c r="G5" s="58" t="inlineStr">
        <is>
          <t>No</t>
        </is>
      </c>
      <c r="H5" s="58" t="n"/>
      <c r="J5" s="0" t="inlineStr">
        <is>
          <t>BodyCamServer</t>
        </is>
      </c>
      <c r="K5" s="58" t="inlineStr">
        <is>
          <t>BC-1, BC-2, BC-3, BC-4, BC-5, BC-6</t>
        </is>
      </c>
      <c r="L5" s="0">
        <f>SUMPRODUCT(($B$4:$B$40="BC")/COUNTIFS($A$4:$A$40,$A$4:$A$40&amp;"",$B$4:$B$40,$B$4:$B$40&amp;""))</f>
        <v/>
      </c>
      <c r="M5" s="0" t="n">
        <v>6860</v>
      </c>
      <c r="N5" s="0">
        <f>SUMIFS($D$4:$D$40,$B$4:$B$40,"BC",$G$4:$G$40,"&lt;&gt;Sí")</f>
        <v/>
      </c>
      <c r="O5" s="62">
        <f>N5*$K$9</f>
        <v/>
      </c>
    </row>
    <row r="6">
      <c r="A6" s="57" t="n">
        <v>46249</v>
      </c>
      <c r="B6" s="58" t="inlineStr">
        <is>
          <t>BC</t>
        </is>
      </c>
      <c r="C6" s="58" t="n"/>
      <c r="D6" s="58" t="n">
        <v>0</v>
      </c>
      <c r="E6" s="58" t="inlineStr">
        <is>
          <t>Alta del sistema de seguimiento de horas (cubre las dos apps)</t>
        </is>
      </c>
      <c r="F6" s="58" t="inlineStr">
        <is>
          <t>pendiente</t>
        </is>
      </c>
      <c r="G6" s="58" t="inlineStr">
        <is>
          <t>No</t>
        </is>
      </c>
      <c r="H6" s="58" t="n"/>
      <c r="J6" s="0" t="inlineStr">
        <is>
          <t>AeriaNexusPrototype</t>
        </is>
      </c>
      <c r="K6" s="58" t="inlineStr">
        <is>
          <t>AN-1</t>
        </is>
      </c>
      <c r="L6" s="0">
        <f>SUMPRODUCT(($B$4:$B$40="AN")/COUNTIFS($A$4:$A$40,$A$4:$A$40&amp;"",$B$4:$B$40,$B$4:$B$40&amp;""))</f>
        <v/>
      </c>
      <c r="M6" s="0" t="n">
        <v>799</v>
      </c>
      <c r="N6" s="0">
        <f>SUMIFS($D$4:$D$40,$B$4:$B$40,"AN",$G$4:$G$40,"&lt;&gt;Sí")</f>
        <v/>
      </c>
      <c r="O6" s="62">
        <f>N6*$K$9</f>
        <v/>
      </c>
    </row>
    <row r="7">
      <c r="A7" s="57" t="n">
        <v>46249</v>
      </c>
      <c r="B7" s="58" t="inlineStr">
        <is>
          <t>BC</t>
        </is>
      </c>
      <c r="C7" s="58" t="inlineStr">
        <is>
          <t>BC-3</t>
        </is>
      </c>
      <c r="D7" s="58" t="n">
        <v>1.5</v>
      </c>
      <c r="E7" s="58" t="inlineStr">
        <is>
          <t>Pantalla en reposo al grabar + cronometro en RecordingActivity. Compilado y desplegado en la unidad</t>
        </is>
      </c>
      <c r="F7" s="58" t="inlineStr">
        <is>
          <t>sin commitear</t>
        </is>
      </c>
      <c r="G7" s="58" t="inlineStr">
        <is>
          <t>No</t>
        </is>
      </c>
      <c r="H7" s="58" t="n"/>
      <c r="J7" s="43" t="inlineStr">
        <is>
          <t>TOTAL DEL MES</t>
        </is>
      </c>
      <c r="K7" s="0">
        <f>SUMPRODUCT(($C$4:$C$40&lt;&gt;"")/COUNTIF($C$4:$C$40,$C$4:$C$40&amp;""))</f>
        <v/>
      </c>
      <c r="L7" s="0">
        <f>SUMPRODUCT(($A$4:$A$40&lt;&gt;"")/COUNTIF($A$4:$A$40,$A$4:$A$40&amp;""))</f>
        <v/>
      </c>
      <c r="M7" s="43">
        <f>SUM(M5:M6)</f>
        <v/>
      </c>
      <c r="N7" s="43">
        <f>SUM(N5:N6)</f>
        <v/>
      </c>
      <c r="O7" s="63">
        <f>SUM(O5:O6)</f>
        <v/>
      </c>
    </row>
    <row r="8">
      <c r="A8" s="57" t="n">
        <v>46249</v>
      </c>
      <c r="B8" s="58" t="inlineStr">
        <is>
          <t>BC</t>
        </is>
      </c>
      <c r="C8" s="58" t="inlineStr">
        <is>
          <t>BC-2</t>
        </is>
      </c>
      <c r="D8" s="58" t="n">
        <v>3</v>
      </c>
      <c r="E8" s="58" t="inlineStr">
        <is>
          <t>Cifrado (medicion): CryptoBenchmark (SHA-256 + AES-256-GCM por bloques) CONTINUACION</t>
        </is>
      </c>
      <c r="F8" s="58" t="inlineStr">
        <is>
          <t>sin commitear</t>
        </is>
      </c>
      <c r="G8" s="58" t="inlineStr">
        <is>
          <t>No</t>
        </is>
      </c>
      <c r="H8" s="58" t="n"/>
    </row>
    <row r="9">
      <c r="A9" s="57" t="n">
        <v>46250</v>
      </c>
      <c r="B9" s="58" t="inlineStr">
        <is>
          <t>BC</t>
        </is>
      </c>
      <c r="C9" s="58" t="inlineStr">
        <is>
          <t>BC-1</t>
        </is>
      </c>
      <c r="D9" s="58" t="n">
        <v>2</v>
      </c>
      <c r="E9" s="58" t="inlineStr">
        <is>
          <t>Funcionalidad Subir a servidor yes/no, visualizacion de tiempo de grabacion</t>
        </is>
      </c>
      <c r="F9" s="58" t="inlineStr">
        <is>
          <t>sin commitear</t>
        </is>
      </c>
      <c r="G9" s="58" t="inlineStr">
        <is>
          <t>No</t>
        </is>
      </c>
      <c r="H9" s="58" t="n"/>
      <c r="J9" s="43" t="inlineStr">
        <is>
          <t>Tarifa (€/h)</t>
        </is>
      </c>
      <c r="K9" s="0" t="n">
        <v>20</v>
      </c>
    </row>
    <row r="10">
      <c r="A10" s="57" t="n">
        <v>46250</v>
      </c>
      <c r="B10" s="58" t="inlineStr">
        <is>
          <t>BC</t>
        </is>
      </c>
      <c r="C10" s="58" t="n"/>
      <c r="D10" s="58" t="n">
        <v>3</v>
      </c>
      <c r="E10" s="58" t="inlineStr">
        <is>
          <t>Reuniones semana del 17 agosto al 28</t>
        </is>
      </c>
      <c r="F10" s="58" t="n"/>
      <c r="G10" s="58" t="inlineStr">
        <is>
          <t>No</t>
        </is>
      </c>
      <c r="H10" s="58" t="n"/>
    </row>
    <row r="11">
      <c r="A11" s="57" t="n">
        <v>46257</v>
      </c>
      <c r="B11" s="58" t="inlineStr">
        <is>
          <t>BC</t>
        </is>
      </c>
      <c r="C11" s="58" t="n"/>
      <c r="D11" s="58" t="n">
        <v>0.5</v>
      </c>
      <c r="E11" s="58" t="inlineStr">
        <is>
          <t>Analisis del Security Feature List (34 features: 15 viables sin backend, 12 parciales, 7 bloqueadas), ruta de desarrollo hasta fin de septiembre y actualizacion del seguimiento</t>
        </is>
      </c>
      <c r="F11" s="58" t="inlineStr">
        <is>
          <t>db04e55</t>
        </is>
      </c>
      <c r="G11" s="58" t="inlineStr">
        <is>
          <t>No</t>
        </is>
      </c>
      <c r="H11" s="58" t="n"/>
    </row>
    <row r="12">
      <c r="A12" s="57" t="n">
        <v>46257</v>
      </c>
      <c r="B12" s="58" t="inlineStr">
        <is>
          <t>BC</t>
        </is>
      </c>
      <c r="C12" s="58" t="inlineStr">
        <is>
          <t>BC-4</t>
        </is>
      </c>
      <c r="D12" s="58" t="n">
        <v>2</v>
      </c>
      <c r="E12" s="58" t="inlineStr">
        <is>
          <t>Panel de control: 3 bugs de la pregunta de envio (finish() en paradas redundantes, rebote de F2, arranque de grabacion con la pregunta abierta), rediseno para pantalla de 3 cm con iconos vectoriales, migracion de las dos pantallas a Compose con 8 previews, fullscreen real (tema, inmersivo, insets del decor)</t>
        </is>
      </c>
      <c r="F12" s="58" t="inlineStr">
        <is>
          <t>db04e55, a599da9</t>
        </is>
      </c>
      <c r="G12" s="58" t="inlineStr">
        <is>
          <t>No</t>
        </is>
      </c>
      <c r="H12" s="58" t="n"/>
    </row>
    <row r="13">
      <c r="A13" s="57" t="n">
        <v>46257</v>
      </c>
      <c r="B13" s="58" t="inlineStr">
        <is>
          <t>BC</t>
        </is>
      </c>
      <c r="C13" s="58" t="inlineStr">
        <is>
          <t>BC-1</t>
        </is>
      </c>
      <c r="D13" s="58" t="n">
        <v>1</v>
      </c>
      <c r="E13" s="58" t="inlineStr">
        <is>
          <t>Grabacion continua integrada en develop (merge de main): anillo + incidentes + manifest sobre la UI Compose. Buffer automatico al abrir, pre-roll de 20 s, LED azul en servicio (LedSignals). Depuracion en la unidad: el parche de armado no habia llegado al disco; ciclo completo grabar-&gt;manifest-&gt;rearme validado en hardware</t>
        </is>
      </c>
      <c r="F13" s="58" t="inlineStr">
        <is>
          <t>06008b2, 56d5478, 99b42a6, f2e7e52</t>
        </is>
      </c>
      <c r="G13" s="58" t="inlineStr">
        <is>
          <t>No</t>
        </is>
      </c>
      <c r="H13" s="58" t="n"/>
    </row>
    <row r="14">
      <c r="A14" s="57" t="n">
        <v>46257</v>
      </c>
      <c r="B14" s="58" t="inlineStr">
        <is>
          <t>BC</t>
        </is>
      </c>
      <c r="C14" s="58" t="inlineStr">
        <is>
          <t>BC-1</t>
        </is>
      </c>
      <c r="D14" s="58" t="n">
        <v>2</v>
      </c>
      <c r="E14" s="58" t="inlineStr">
        <is>
          <t>Evidencia al estandar bodycam, validado en la unidad: identidad del oficial en overlay + manifest (Officer.kt hardcodeado con TODO), un solo MP4 por incidente (IncidentAssembler, remux sin recodificar), rotulo del oficial quemado en los frames (VideoStamper, decode-GL-encode por hardware; el firmware no trae watermark), nombres placa_fecha_hora, numeracion secuencial INC_000001 con contador auto-reparable, .nomedia en el anillo</t>
        </is>
      </c>
      <c r="F14" s="58" t="inlineStr">
        <is>
          <t>671cab7, 48892dd, b00332f, 4373116, a25c0c7</t>
        </is>
      </c>
      <c r="G14" s="58" t="inlineStr">
        <is>
          <t>No</t>
        </is>
      </c>
      <c r="H14" s="58" t="n"/>
    </row>
    <row r="15">
      <c r="A15" s="57" t="n">
        <v>46259</v>
      </c>
      <c r="B15" s="58" t="inlineStr">
        <is>
          <t>BC</t>
        </is>
      </c>
      <c r="C15" s="58" t="inlineStr">
        <is>
          <t>BC-5</t>
        </is>
      </c>
      <c r="D15" s="58" t="n">
        <v>3</v>
      </c>
      <c r="E15" s="58" t="inlineStr">
        <is>
          <t>Cifrado y hash de la evidencia (IMPLEMENTACION): formato FEVD v1 documentado como contrato de las dos apps (docs/CRYPTO-FORMAT.md), EvidenceCrypto (AES-256-GCM en bloques de 1 MB con nonce y AAD derivados del indice, mas SHA-256 en la misma pasada), EvidenceKeys (DEK por fichero + envoltorios: Keystore del dispositivo funcional, RSA-OAEP del servidor listo y desactivado), hashes persistidos en el manifest, disparo al cerrar el incidente, descifrador Python de referencia. Validado en la unidad: 20,3 MB cifrados en 397 ms, descifrado en PC identico byte a byte. Version 1.2 (versionCode 3)</t>
        </is>
      </c>
      <c r="F15" s="58" t="inlineStr">
        <is>
          <t>81f0995</t>
        </is>
      </c>
      <c r="G15" s="58" t="inlineStr">
        <is>
          <t>No</t>
        </is>
      </c>
      <c r="H15" s="58" t="n"/>
    </row>
    <row r="16">
      <c r="A16" s="57" t="n">
        <v>46259</v>
      </c>
      <c r="B16" s="58" t="inlineStr">
        <is>
          <t>AN</t>
        </is>
      </c>
      <c r="C16" s="58" t="inlineStr">
        <is>
          <t>AN-1</t>
        </is>
      </c>
      <c r="D16" s="58" t="n">
        <v>3</v>
      </c>
      <c r="E16" s="58" t="inlineStr">
        <is>
          <t>Cifrado y hash de la evidencia (PORT AL TELEFONO): EvidenceCrypto y EvidenceKeys identicos byte a byte a los de la bodycam salvo el alias de Keystore, enganche al cerrar la captura, .fev a almacenamiento privado (fuera de la galeria), hashes simulados sustituidos por SHA-256 real. Compila; sin validar en telefono</t>
        </is>
      </c>
      <c r="F16" s="58" t="inlineStr">
        <is>
          <t>sin commitear</t>
        </is>
      </c>
      <c r="G16" s="58" t="inlineStr">
        <is>
          <t>No</t>
        </is>
      </c>
      <c r="H16" s="58" t="n"/>
    </row>
    <row r="17">
      <c r="A17" s="57" t="n">
        <v>46260</v>
      </c>
      <c r="B17" s="58" t="inlineStr">
        <is>
          <t>BC</t>
        </is>
      </c>
      <c r="C17" s="58" t="inlineStr">
        <is>
          <t>BC-6</t>
        </is>
      </c>
      <c r="D17" s="58" t="n">
        <v>4</v>
      </c>
      <c r="E17" s="58" t="inlineStr">
        <is>
          <t>Subida por bloques reanudable en la bodycam: cliente tus 1.0.0 (4 operaciones, backoff, reanudación por offset del servidor), sesión persistida, config por fichero, servidor stub con corte inyectable, contrato para backend. Clave srv: de desarrollo activada — la evidencia deja de subirse en claro. Validado en la unidad: 9 incidentes, 61,9 MB, corte inyectado,   corte real de WiFi y reanudación tras reinicio</t>
        </is>
      </c>
      <c r="F17" s="58" t="n"/>
      <c r="G17" s="58" t="n"/>
      <c r="H17" s="58" t="n"/>
    </row>
    <row r="18">
      <c r="A18" s="57" t="n">
        <v>46260</v>
      </c>
      <c r="B18" s="58" t="inlineStr">
        <is>
          <t>AN</t>
        </is>
      </c>
      <c r="C18" s="58" t="inlineStr">
        <is>
          <t>AN-1</t>
        </is>
      </c>
      <c r="D18" s="58" t="n">
        <v>3</v>
      </c>
      <c r="E18" s="58" t="inlineStr">
        <is>
          <t>Destinatario srv: del teléfono alineado con el de la unidad, y validado en hardware: cifra para los dos, el servidor lo abre, el hash de Room es el real</t>
        </is>
      </c>
      <c r="F18" s="58" t="n"/>
      <c r="G18" s="58" t="n"/>
      <c r="H18" s="58" t="n"/>
    </row>
    <row r="19">
      <c r="A19" s="57" t="n">
        <v>46260</v>
      </c>
      <c r="B19" s="58" t="inlineStr">
        <is>
          <t>AN</t>
        </is>
      </c>
      <c r="C19" s="58" t="inlineStr">
        <is>
          <t>AN-1</t>
        </is>
      </c>
      <c r="D19" s="58" t="n">
        <v>2</v>
      </c>
      <c r="E19" s="58" t="inlineStr">
        <is>
          <t>Subida por bloques portada al teléfono: data/upload/ completo, enganche en foto, vídeo y audio, reconciliación del estado  de sincronización. Validado: vídeo de 68 MB con corte y reanudación, más dos ficheros retomados solos al arrancar</t>
        </is>
      </c>
      <c r="F19" s="58" t="n"/>
      <c r="G19" s="58" t="n"/>
      <c r="H19" s="58" t="n"/>
    </row>
    <row r="20">
      <c r="A20" s="57" t="n">
        <v>46261</v>
      </c>
      <c r="B20" s="58" t="inlineStr">
        <is>
          <t>BC</t>
        </is>
      </c>
      <c r="C20" s="58" t="inlineStr">
        <is>
          <t>BC-1</t>
        </is>
      </c>
      <c r="D20" s="58" t="n">
        <v>1</v>
      </c>
      <c r="E20" s="58" t="inlineStr">
        <is>
          <t>Inventario de entrega a backend: revisión del contrato de subida, formato de cifrado y manifest.
Detectados 4 huecos (esquema del manifest.json sin documentar, falta juego de muestra, endpoint HTTPS + CA, rechazo
de kid dev-*)</t>
        </is>
      </c>
      <c r="F20" s="58" t="n"/>
      <c r="G20" s="58" t="n"/>
      <c r="H20" s="58" t="n"/>
    </row>
    <row r="21">
      <c r="A21" s="57" t="n">
        <v>46261</v>
      </c>
      <c r="B21" s="58" t="inlineStr">
        <is>
          <t>BC</t>
        </is>
      </c>
      <c r="C21" s="58" t="inlineStr">
        <is>
          <t>BC-1</t>
        </is>
      </c>
      <c r="D21" s="58" t="n">
        <v>1</v>
      </c>
      <c r="E21" s="58" t="inlineStr">
        <is>
          <t xml:space="preserve"> Firma de release: keystore único de proyecto (PKCS12, RSA 4096), signingConfig vía local.properties,
versión 1.2→1.3 (code 4), APK firmado y verificado (v2)</t>
        </is>
      </c>
      <c r="F21" s="58" t="n"/>
      <c r="G21" s="58" t="n"/>
      <c r="H21" s="58" t="n"/>
    </row>
    <row r="22">
      <c r="A22" s="57" t="n">
        <v>46261</v>
      </c>
      <c r="B22" s="58" t="inlineStr">
        <is>
          <t>AN</t>
        </is>
      </c>
      <c r="C22" s="58" t="inlineStr">
        <is>
          <t>AN-1</t>
        </is>
      </c>
      <c r="D22" s="58" t="n">
        <v>1</v>
      </c>
      <c r="E22" s="58" t="inlineStr">
        <is>
          <t xml:space="preserve"> Firma de release con el mismo keystore, versión 1.0→1.1 (code 2), APK firmado y verificado. R8 con minify</t>
        </is>
      </c>
      <c r="F22" s="58" t="n"/>
      <c r="G22" s="58" t="n"/>
      <c r="H22" s="58" t="n"/>
    </row>
    <row r="23">
      <c r="A23" s="57" t="n">
        <v>46263</v>
      </c>
      <c r="B23" s="58" t="inlineStr">
        <is>
          <t>AN</t>
        </is>
      </c>
      <c r="C23" s="58" t="inlineStr">
        <is>
          <t>AN-1</t>
        </is>
      </c>
      <c r="D23" s="58" t="n">
        <v>3</v>
      </c>
      <c r="E23" s="58" t="inlineStr">
        <is>
          <t xml:space="preserve"> Bóveda con contraseña: EvidenceVault, RSA + PBKDF2 + Keystore, destinatarios de clave.  Captura fuera de la galería: LocalEvidenceRepository sin MediaStore, borrado del claro. Pantalla Evidence Vault, VaultRepository, entrada desde Profile</t>
        </is>
      </c>
      <c r="F23" s="58" t="n"/>
      <c r="G23" s="58" t="n"/>
      <c r="H23" s="58" t="n"/>
    </row>
    <row r="24">
      <c r="A24" s="57" t="n">
        <v>46264</v>
      </c>
      <c r="B24" s="58" t="inlineStr">
        <is>
          <t>AN</t>
        </is>
      </c>
      <c r="C24" s="58" t="inlineStr">
        <is>
          <t>AN-1</t>
        </is>
      </c>
      <c r="D24" s="58" t="n">
        <v>2</v>
      </c>
      <c r="E24" s="58" t="inlineStr">
        <is>
          <t xml:space="preserve"> reproductor de audio dentro de la app , nota de audio enlazada al cerrar el incidente. Clasificación de la nota de audio + cierre encadenado; pruebas con adb</t>
        </is>
      </c>
      <c r="F24" s="58" t="n"/>
      <c r="G24" s="58" t="n"/>
      <c r="H24" s="58" t="n"/>
    </row>
    <row r="25">
      <c r="A25" s="57" t="n">
        <v>46264</v>
      </c>
      <c r="B25" s="58" t="inlineStr">
        <is>
          <t>BC</t>
        </is>
      </c>
      <c r="C25" s="58" t="inlineStr">
        <is>
          <t>BC-1</t>
        </is>
      </c>
      <c r="D25" s="58" t="n">
        <v>1</v>
      </c>
      <c r="E25" s="58" t="inlineStr">
        <is>
          <t>Avance documentacion</t>
        </is>
      </c>
      <c r="F25" s="58" t="n"/>
      <c r="G25" s="58" t="n"/>
      <c r="H25" s="58" t="n"/>
    </row>
    <row r="42">
      <c r="C42" s="43" t="inlineStr">
        <is>
          <t>TOTAL HORAS</t>
        </is>
      </c>
      <c r="D42" s="43">
        <f>SUM($D$4:$D$40)</f>
        <v/>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3"/>
  <sheetViews>
    <sheetView workbookViewId="0">
      <pane ySplit="3" topLeftCell="A4" activePane="bottomLeft" state="frozen"/>
      <selection pane="bottomLeft" activeCell="A1" sqref="A1"/>
    </sheetView>
  </sheetViews>
  <sheetFormatPr baseColWidth="8" defaultRowHeight="15"/>
  <cols>
    <col width="12" customWidth="1" style="38" min="1" max="1"/>
    <col width="6" customWidth="1" style="38" min="2" max="2"/>
    <col width="9" customWidth="1" style="38" min="3" max="3"/>
    <col width="7" customWidth="1" style="38" min="4" max="4"/>
    <col width="85" customWidth="1" style="38" min="5" max="5"/>
    <col width="22" customWidth="1" style="38" min="6" max="6"/>
    <col width="10" customWidth="1" style="38" min="7" max="7"/>
    <col width="34" customWidth="1" style="38" min="8" max="8"/>
    <col width="20" customWidth="1" style="38" min="10" max="10"/>
    <col width="30" customWidth="1" style="38" min="11" max="11"/>
    <col width="11" customWidth="1" style="38" min="12" max="12"/>
    <col width="14" customWidth="1" style="38" min="13" max="13"/>
    <col width="8" customWidth="1" style="38" min="14" max="14"/>
    <col width="11" customWidth="1" style="38" min="15" max="15"/>
  </cols>
  <sheetData>
    <row r="1">
      <c r="A1" s="53" t="inlineStr">
        <is>
          <t xml:space="preserve">  SESIONES DE TRABAJO — una fila por sesión</t>
        </is>
      </c>
    </row>
    <row r="2">
      <c r="A2" s="54" t="inlineStr">
        <is>
          <t>Una hora siempre se imputa a UNA app y a UN bloque. Si una sesión toca las dos apps, pártela en dos filas: si no, los subtotales por aplicación dejan de cuadrar.</t>
        </is>
      </c>
    </row>
    <row r="3">
      <c r="A3" s="55" t="inlineStr">
        <is>
          <t>Fecha</t>
        </is>
      </c>
      <c r="B3" s="55" t="inlineStr">
        <is>
          <t>App</t>
        </is>
      </c>
      <c r="C3" s="55" t="inlineStr">
        <is>
          <t>Bloque</t>
        </is>
      </c>
      <c r="D3" s="55" t="inlineStr">
        <is>
          <t>Horas</t>
        </is>
      </c>
      <c r="E3" s="55" t="inlineStr">
        <is>
          <t>Qué se hizo</t>
        </is>
      </c>
      <c r="F3" s="55" t="inlineStr">
        <is>
          <t>Commit(s)</t>
        </is>
      </c>
      <c r="G3" s="55" t="inlineStr">
        <is>
          <t>Facturado</t>
        </is>
      </c>
      <c r="H3" s="55" t="inlineStr">
        <is>
          <t>Origen del dato</t>
        </is>
      </c>
      <c r="J3" s="56" t="inlineStr">
        <is>
          <t>PENDIENTE DE FACTURAR — septiembre 2026</t>
        </is>
      </c>
    </row>
    <row r="4">
      <c r="A4" s="57" t="n">
        <v>46268</v>
      </c>
      <c r="B4" s="58" t="inlineStr">
        <is>
          <t>AN</t>
        </is>
      </c>
      <c r="C4" s="58" t="inlineStr">
        <is>
          <t>AN-2</t>
        </is>
      </c>
      <c r="D4" s="58" t="n">
        <v>4</v>
      </c>
      <c r="E4" s="58" t="inlineStr">
        <is>
          <t>IAM AeriaOne, analisis: lectura de los dos documentos de ciberseguridad (arquitectura de 16 secciones con requisitos IAM-01..20, y catalogo de 68 workflows), reparto de responsabilidad (47 tocan al APK o a la bodycam) y plan por fases con estimacion</t>
        </is>
      </c>
      <c r="F4" s="58" t="n"/>
      <c r="G4" s="58" t="inlineStr">
        <is>
          <t>No</t>
        </is>
      </c>
      <c r="H4" s="58" t="inlineStr">
        <is>
          <t>ESTIMADO - CONFIRMAR</t>
        </is>
      </c>
      <c r="J4" s="55" t="inlineStr">
        <is>
          <t>Aplicación</t>
        </is>
      </c>
      <c r="K4" s="55" t="inlineStr">
        <is>
          <t>Bloques</t>
        </is>
      </c>
      <c r="L4" s="55" t="inlineStr">
        <is>
          <t>Días activ.</t>
        </is>
      </c>
      <c r="M4" s="55" t="inlineStr">
        <is>
          <t>Líneas código</t>
        </is>
      </c>
      <c r="N4" s="55" t="inlineStr">
        <is>
          <t>Horas</t>
        </is>
      </c>
      <c r="O4" s="55" t="inlineStr">
        <is>
          <t>Importe</t>
        </is>
      </c>
    </row>
    <row r="5">
      <c r="A5" s="57" t="n">
        <v>46269</v>
      </c>
      <c r="B5" s="58" t="inlineStr">
        <is>
          <t>AN</t>
        </is>
      </c>
      <c r="C5" s="58" t="inlineStr">
        <is>
          <t>AN-2</t>
        </is>
      </c>
      <c r="D5" s="58" t="n">
        <v>1.5</v>
      </c>
      <c r="E5" s="58" t="inlineStr">
        <is>
          <t>Maquina de estados de confianza y pantalla de bloqueo: siete estados de arranque, TrustGate por delante de la navegacion, PIN de 6 digitos con limite de intentos y bloqueo escalonado. Verificado en el Redmi</t>
        </is>
      </c>
      <c r="F5" s="58" t="inlineStr">
        <is>
          <t>f52a7b4</t>
        </is>
      </c>
      <c r="G5" s="58" t="inlineStr">
        <is>
          <t>No</t>
        </is>
      </c>
      <c r="H5" s="58" t="inlineStr">
        <is>
          <t>reloj de sesion 10:25-12:31</t>
        </is>
      </c>
      <c r="J5" s="0" t="inlineStr">
        <is>
          <t>BodyCamServer</t>
        </is>
      </c>
      <c r="K5" s="58" t="inlineStr">
        <is>
          <t>BC-7, BC-8, BC-9</t>
        </is>
      </c>
      <c r="L5" s="0">
        <f>SUMPRODUCT(($B$4:$B$29="BC")/COUNTIFS($A$4:$A$29,$A$4:$A$29&amp;"",$B$4:$B$29,$B$4:$B$29&amp;""))</f>
        <v/>
      </c>
      <c r="M5" s="0" t="n">
        <v>3052</v>
      </c>
      <c r="N5" s="0">
        <f>SUMIFS($D$4:$D$29,$B$4:$B$29,"BC",$G$4:$G$29,"&lt;&gt;Sí")</f>
        <v/>
      </c>
      <c r="O5" s="62">
        <f>N5*$K$9</f>
        <v/>
      </c>
    </row>
    <row r="6">
      <c r="A6" s="57" t="n">
        <v>46269</v>
      </c>
      <c r="B6" s="58" t="inlineStr">
        <is>
          <t>AN</t>
        </is>
      </c>
      <c r="C6" s="58" t="inlineStr">
        <is>
          <t>AN-2</t>
        </is>
      </c>
      <c r="D6" s="58" t="n">
        <v>0.5</v>
      </c>
      <c r="E6" s="58" t="inlineStr">
        <is>
          <t>Workflow 12, alta del telefono: par EC P-256 dentro del TEE con cadena de atestacion, PKCS#10 escrito a mano (sin BouncyCastle, ~130 lineas), CSR validado con openssl y prueba de posesion. 7 pruebas JVM. Verificado en el Redmi</t>
        </is>
      </c>
      <c r="F6" s="58" t="inlineStr">
        <is>
          <t>57081f9</t>
        </is>
      </c>
      <c r="G6" s="58" t="inlineStr">
        <is>
          <t>No</t>
        </is>
      </c>
      <c r="H6" s="58" t="inlineStr">
        <is>
          <t>reloj de sesion 10:25-12:31</t>
        </is>
      </c>
      <c r="J6" s="0" t="inlineStr">
        <is>
          <t>AeriaNexusPrototype</t>
        </is>
      </c>
      <c r="K6" s="58" t="inlineStr">
        <is>
          <t>AN-2, AN-3, AN-4, AN-5, AN-6, AN-7, AN-8</t>
        </is>
      </c>
      <c r="L6" s="0">
        <f>SUMPRODUCT(($B$4:$B$29="AN")/COUNTIFS($A$4:$A$29,$A$4:$A$29&amp;"",$B$4:$B$29,$B$4:$B$29&amp;""))</f>
        <v/>
      </c>
      <c r="M6" s="0" t="n">
        <v>14925</v>
      </c>
      <c r="N6" s="0">
        <f>SUMIFS($D$4:$D$29,$B$4:$B$29,"AN",$G$4:$G$29,"&lt;&gt;Sí")</f>
        <v/>
      </c>
      <c r="O6" s="62">
        <f>N6*$K$9</f>
        <v/>
      </c>
    </row>
    <row r="7">
      <c r="A7" s="57" t="n">
        <v>46271</v>
      </c>
      <c r="B7" s="58" t="inlineStr">
        <is>
          <t>AN</t>
        </is>
      </c>
      <c r="C7" s="58" t="inlineStr">
        <is>
          <t>AN-2</t>
        </is>
      </c>
      <c r="D7" s="58" t="n">
        <v>0.7</v>
      </c>
      <c r="E7" s="58" t="inlineStr">
        <is>
          <t>Seguimiento propio de los 68 workflows: libro de 10 hojas cruzando el catalogo de ciberseguridad con el repositorio, con los 162 pasos de sus hojas de detalle marcados uno a uno</t>
        </is>
      </c>
      <c r="F7" s="58" t="n"/>
      <c r="G7" s="58" t="inlineStr">
        <is>
          <t>No</t>
        </is>
      </c>
      <c r="H7" s="58" t="inlineStr">
        <is>
          <t>reloj de sesion 16:19-20:42 (total medido; reparto por tarea estimado)</t>
        </is>
      </c>
      <c r="J7" s="43" t="inlineStr">
        <is>
          <t>TOTAL DEL MES</t>
        </is>
      </c>
      <c r="K7" s="0">
        <f>SUMPRODUCT(($C$4:$C$29&lt;&gt;"")/COUNTIF($C$4:$C$29,$C$4:$C$29&amp;""))</f>
        <v/>
      </c>
      <c r="L7" s="0">
        <f>SUMPRODUCT(($A$4:$A$29&lt;&gt;"")/COUNTIF($A$4:$A$29,$A$4:$A$29&amp;""))</f>
        <v/>
      </c>
      <c r="M7" s="43">
        <f>SUM(M5:M6)</f>
        <v/>
      </c>
      <c r="N7" s="43">
        <f>SUM(N5:N6)</f>
        <v/>
      </c>
      <c r="O7" s="63">
        <f>SUM(O5:O6)</f>
        <v/>
      </c>
    </row>
    <row r="8">
      <c r="A8" s="57" t="n">
        <v>46271</v>
      </c>
      <c r="B8" s="58" t="inlineStr">
        <is>
          <t>AN</t>
        </is>
      </c>
      <c r="C8" s="58" t="inlineStr">
        <is>
          <t>AN-2</t>
        </is>
      </c>
      <c r="D8" s="58" t="n">
        <v>0.7</v>
      </c>
      <c r="E8" s="58" t="inlineStr">
        <is>
          <t>Workflow 3, certificado del agente: segundo par de claves con alias propio (separado del telefono, regla de no equivalencia), CSR contrafirmado por el terminal y CA de usuario separada de la de dispositivos. 5 pruebas JVM. Verificado en el Redmi</t>
        </is>
      </c>
      <c r="F8" s="58" t="n"/>
      <c r="G8" s="58" t="inlineStr">
        <is>
          <t>No</t>
        </is>
      </c>
      <c r="H8" s="58" t="inlineStr">
        <is>
          <t>reloj de sesion 16:19-20:42 (total medido; reparto por tarea estimado)</t>
        </is>
      </c>
    </row>
    <row r="9">
      <c r="A9" s="57" t="n">
        <v>46271</v>
      </c>
      <c r="B9" s="58" t="inlineStr">
        <is>
          <t>AN</t>
        </is>
      </c>
      <c r="C9" s="58" t="inlineStr">
        <is>
          <t>AN-2</t>
        </is>
      </c>
      <c r="D9" s="58" t="n">
        <v>0.8</v>
      </c>
      <c r="E9" s="58" t="inlineStr">
        <is>
          <t>Workflow 4, PIN real: verificador PBKDF2-HMAC-SHA256 + AES-GCM sellado con clave de Keystore propia, contador de intentos fuera de SharedPreferences, e iteraciones CALIBRADAS midiendo el terminal (de 2.703 ms a 843 ms por desbloqueo). 4 pruebas JVM. Verificado en el Redmi</t>
        </is>
      </c>
      <c r="F9" s="58" t="n"/>
      <c r="G9" s="58" t="inlineStr">
        <is>
          <t>No</t>
        </is>
      </c>
      <c r="H9" s="58" t="inlineStr">
        <is>
          <t>reloj de sesion 16:19-20:42 (total medido; reparto por tarea estimado)</t>
        </is>
      </c>
      <c r="J9" s="43" t="inlineStr">
        <is>
          <t>Tarifa (€/h)</t>
        </is>
      </c>
      <c r="K9" s="0" t="n">
        <v>20</v>
      </c>
    </row>
    <row r="10">
      <c r="A10" s="57" t="n">
        <v>46271</v>
      </c>
      <c r="B10" s="58" t="inlineStr">
        <is>
          <t>AN</t>
        </is>
      </c>
      <c r="C10" s="58" t="inlineStr">
        <is>
          <t>AN-2</t>
        </is>
      </c>
      <c r="D10" s="58" t="n">
        <v>0.8</v>
      </c>
      <c r="E10" s="58" t="inlineStr">
        <is>
          <t>Servicio de retos y workflow 27: nonce emitido de fuera, de un solo uso y con caducidad, en los cinco puntos que firman; el PIN autoriza la clave del agente y esa clave firma el reto del servidor. Verificado en el Redmi, con reintento de respuesta rechazado</t>
        </is>
      </c>
      <c r="F10" s="58" t="n"/>
      <c r="G10" s="58" t="inlineStr">
        <is>
          <t>No</t>
        </is>
      </c>
      <c r="H10" s="58" t="inlineStr">
        <is>
          <t>reloj de sesion 16:19-20:42 (total medido; reparto por tarea estimado)</t>
        </is>
      </c>
    </row>
    <row r="11">
      <c r="A11" s="57" t="n">
        <v>46271</v>
      </c>
      <c r="B11" s="58" t="inlineStr">
        <is>
          <t>AN</t>
        </is>
      </c>
      <c r="C11" s="58" t="inlineStr">
        <is>
          <t>AN-3</t>
        </is>
      </c>
      <c r="D11" s="58" t="n">
        <v>0.6</v>
      </c>
      <c r="E11" s="58" t="inlineStr">
        <is>
          <t>Workflow 31 (lado telefono): emparejamiento autenticado mutuo con la bodycam sobre el canal RFCOMM, e indicador de enlace de confianza en la barra superior. 6 pruebas JVM con cuatro ataques. Verificado contra la W1</t>
        </is>
      </c>
      <c r="F11" s="58" t="n"/>
      <c r="G11" s="58" t="inlineStr">
        <is>
          <t>No</t>
        </is>
      </c>
      <c r="H11" s="58" t="inlineStr">
        <is>
          <t>reloj de sesion 16:19-20:42 (total medido; reparto por tarea estimado)</t>
        </is>
      </c>
    </row>
    <row r="12">
      <c r="A12" s="57" t="n">
        <v>46271</v>
      </c>
      <c r="B12" s="58" t="inlineStr">
        <is>
          <t>BC</t>
        </is>
      </c>
      <c r="C12" s="58" t="inlineStr">
        <is>
          <t>BC-7</t>
        </is>
      </c>
      <c r="D12" s="58" t="n">
        <v>0.6</v>
      </c>
      <c r="E12" s="58" t="inlineStr">
        <is>
          <t>Workflows 13 y 31 (lado bodycam): identidad EC propia de la W1 en su Keystore, CSR y certificado emitido por la misma CA de dispositivos que los telefonos, y su mitad del emparejamiento. Verificado en la W1</t>
        </is>
      </c>
      <c r="F12" s="58" t="n"/>
      <c r="G12" s="58" t="inlineStr">
        <is>
          <t>No</t>
        </is>
      </c>
      <c r="H12" s="58" t="inlineStr">
        <is>
          <t>reloj de sesion 16:19-20:42 (total medido; reparto por tarea estimado)</t>
        </is>
      </c>
    </row>
    <row r="13">
      <c r="A13" s="57" t="n">
        <v>46271</v>
      </c>
      <c r="B13" s="58" t="inlineStr">
        <is>
          <t>AN</t>
        </is>
      </c>
      <c r="C13" s="58" t="inlineStr">
        <is>
          <t>AN-3</t>
        </is>
      </c>
      <c r="D13" s="58" t="n">
        <v>0.1</v>
      </c>
      <c r="E13" s="58" t="inlineStr">
        <is>
          <t>Workflows 33 y 34 (lado telefono): atadura agente-camara firmada con la clave del agente, con caducidad y deshecha al cerrar sesion. ESCRITO Y COMPILA, SIN VERIFICAR EN DISPOSITIVO</t>
        </is>
      </c>
      <c r="F13" s="58" t="n"/>
      <c r="G13" s="58" t="inlineStr">
        <is>
          <t>No</t>
        </is>
      </c>
      <c r="H13" s="58" t="inlineStr">
        <is>
          <t>reloj de sesion 16:19-20:42 (total medido; reparto por tarea estimado)</t>
        </is>
      </c>
    </row>
    <row r="14">
      <c r="A14" s="57" t="n">
        <v>46271</v>
      </c>
      <c r="B14" s="58" t="inlineStr">
        <is>
          <t>BC</t>
        </is>
      </c>
      <c r="C14" s="58" t="inlineStr">
        <is>
          <t>BC-7</t>
        </is>
      </c>
      <c r="D14" s="58" t="n">
        <v>0.1</v>
      </c>
      <c r="E14" s="58" t="inlineStr">
        <is>
          <t>Workflows 33 y 34 (lado bodycam): validacion de la atadura contra la CA de usuario, atada al nonce de la sesion de emparejamiento. ESCRITO Y COMPILA, SIN VERIFICAR EN DISPOSITIVO</t>
        </is>
      </c>
      <c r="F14" s="58" t="n"/>
      <c r="G14" s="58" t="inlineStr">
        <is>
          <t>No</t>
        </is>
      </c>
      <c r="H14" s="58" t="inlineStr">
        <is>
          <t>reloj de sesion 16:19-20:42 (total medido; reparto por tarea estimado)</t>
        </is>
      </c>
    </row>
    <row r="15">
      <c r="A15" s="57" t="n">
        <v>46272</v>
      </c>
      <c r="B15" s="58" t="inlineStr">
        <is>
          <t>AN</t>
        </is>
      </c>
      <c r="C15" s="58" t="inlineStr">
        <is>
          <t>AN-5</t>
        </is>
      </c>
      <c r="D15" s="58" t="n">
        <v>3</v>
      </c>
      <c r="E15" s="58" t="inlineStr">
        <is>
          <t>Gafas BleeqUp: integracion del enlace y analisis de lo que se puede hacer con ellas. Enlace BT observado de verdad (GafasRepository, indicador en AppScaffold) en vez de fabricado. Y la respuesta a las dos preguntas del cliente, desmontando la app oficial: funcionalidades internas NO (sin SDK, firmware OTA firmado por el fabricante); cifrado solo en el telefono, porque su app descarga el video a la galeria publica y apoyarse en ella seria cifrar una copia dejando el original en claro. Informe entregado con los tres caminos posibles y cuatro decisiones de negocio</t>
        </is>
      </c>
      <c r="F15" s="58" t="inlineStr">
        <is>
          <t>8b7111d</t>
        </is>
      </c>
      <c r="G15" s="58" t="inlineStr">
        <is>
          <t>No</t>
        </is>
      </c>
      <c r="H15" s="58" t="inlineStr">
        <is>
          <t>indicado por el usuario; marcas de fichero 21:05-23:02</t>
        </is>
      </c>
    </row>
    <row r="16">
      <c r="A16" s="57" t="n">
        <v>46273</v>
      </c>
      <c r="B16" s="58" t="inlineStr">
        <is>
          <t>BC</t>
        </is>
      </c>
      <c r="C16" s="58" t="inlineStr">
        <is>
          <t>BC-8</t>
        </is>
      </c>
      <c r="D16" s="58" t="n">
        <v>2.8</v>
      </c>
      <c r="E16" s="58" t="inlineStr">
        <is>
          <t>PTT por Agora en la bodycam. Boton F2 medido por logcat: el broadcast solo llega al SOLTAR, el firmware inyecta BACK al segundo de mantenerlo y auto-repite con la Activity en foco, asi que el PTT es conmutador y no mantener-para-hablar. Una sola puerta en BtServerService, sesion solo-audio que no toca la camara ni dispara SOS, cesion del microfono al anillo (conflicto de captura medido: warning 1033 / error 1165) y watchdog para que nunca diga ON transmitiendo silencio. Contrato nuevo con el movil: BTN_PTT_ON/BTN_PTT_OFF y campo ptt en STATUS. Validado en la unidad</t>
        </is>
      </c>
      <c r="F16" s="58" t="inlineStr">
        <is>
          <t>sin commitear</t>
        </is>
      </c>
      <c r="G16" s="58" t="inlineStr">
        <is>
          <t>No</t>
        </is>
      </c>
      <c r="H16" s="58" t="inlineStr">
        <is>
          <t>marcas de fichero 12:33-16:39 (total medido; reparto por app estimado)</t>
        </is>
      </c>
    </row>
    <row r="17">
      <c r="A17" s="57" t="n">
        <v>46273</v>
      </c>
      <c r="B17" s="58" t="inlineStr">
        <is>
          <t>AN</t>
        </is>
      </c>
      <c r="C17" s="58" t="inlineStr">
        <is>
          <t>AN-4</t>
        </is>
      </c>
      <c r="D17" s="58" t="n">
        <v>1.5</v>
      </c>
      <c r="E17" s="58" t="inlineStr">
        <is>
          <t>Recepcion del PTT en el telefono: excepcion de escucha al uid 9001 (con autoSubscribeAudio=false la bodycam publicaba y no la oia nadie), estado por onRemoteAudioStateChanged tratando FROZEN como voz viva, y banda de aviso PttAvisoOverlay por encima de la navegacion y por debajo del SOS. Verificado con la W1 y el Redmi a la vez, sin SOS fantasma</t>
        </is>
      </c>
      <c r="F17" s="58" t="inlineStr">
        <is>
          <t>sin commitear</t>
        </is>
      </c>
      <c r="G17" s="58" t="inlineStr">
        <is>
          <t>No</t>
        </is>
      </c>
      <c r="H17" s="58" t="inlineStr">
        <is>
          <t>marcas de fichero 12:33-16:53 (total medido; reparto por app estimado)</t>
        </is>
      </c>
    </row>
    <row r="18">
      <c r="A18" s="57" t="n">
        <v>46273</v>
      </c>
      <c r="B18" s="58" t="inlineStr">
        <is>
          <t>AN</t>
        </is>
      </c>
      <c r="C18" s="58" t="inlineStr">
        <is>
          <t>AN-4</t>
        </is>
      </c>
      <c r="D18" s="58" t="n">
        <v>0.5</v>
      </c>
      <c r="E18" s="58" t="inlineStr">
        <is>
          <t>PTT propio del telefono: boton mantener-para-hablar en Operations (estaba comentado como decorativo), publicacion del microfono en caliente y anuncio ptt_on/ptt_off por el data stream, sin el cual la voz sale y no la oye nadie porque el uid del telefono es aleatorio. Compila; sin probar en aparatos</t>
        </is>
      </c>
      <c r="F18" s="58" t="inlineStr">
        <is>
          <t>sin commitear</t>
        </is>
      </c>
      <c r="G18" s="58" t="inlineStr">
        <is>
          <t>No</t>
        </is>
      </c>
      <c r="H18" s="58" t="inlineStr">
        <is>
          <t>marcas de fichero 17:40-18:10</t>
        </is>
      </c>
    </row>
    <row r="19">
      <c r="A19" s="57" t="n">
        <v>46274</v>
      </c>
      <c r="B19" s="58" t="inlineStr">
        <is>
          <t>BC</t>
        </is>
      </c>
      <c r="C19" s="58" t="inlineStr">
        <is>
          <t>BC-8</t>
        </is>
      </c>
      <c r="D19" s="58" t="n">
        <v>1.2</v>
      </c>
      <c r="E19" s="58" t="inlineStr">
        <is>
          <t>Senal sonora del PTT en la unidad: cinco tonos sintetizados en PCM con AudioTrack (subida al abrir, bajada al cerrar, zumbido si no se abre, y dos de recepcion), sonando en los seis puntos donde el PTT cambia de estado de verdad. Incluye el fallo por captura no confirmada del 8-sep, en el que el agente hablaba creyendo que le oian. Compila; sin oirse en la unidad</t>
        </is>
      </c>
      <c r="F19" s="58" t="inlineStr">
        <is>
          <t>c000b50</t>
        </is>
      </c>
      <c r="G19" s="58" t="inlineStr">
        <is>
          <t>No</t>
        </is>
      </c>
      <c r="H19" s="58" t="inlineStr">
        <is>
          <t>marcas de fichero 08:41-12:21 (total medido; reparto por tarea estimado)</t>
        </is>
      </c>
    </row>
    <row r="20">
      <c r="A20" s="57" t="n">
        <v>46274</v>
      </c>
      <c r="B20" s="58" t="inlineStr">
        <is>
          <t>AN</t>
        </is>
      </c>
      <c r="C20" s="58" t="inlineStr">
        <is>
          <t>AN-4</t>
        </is>
      </c>
      <c r="D20" s="58" t="n">
        <v>1</v>
      </c>
      <c r="E20" s="58" t="inlineStr">
        <is>
          <t>Los mismos cinco tonos en el telefono (PttTones vive duplicado, como EvidenceCrypto) y los de recepcion cableados al PTT de un companero y al de la bodycam. Dos reglas que fijan el diseno: dos notas son tuyas y una nota es de otro, y el tono suena en el FLANCO y no en cada aviso de Agora. Compila; sin probar en aparatos</t>
        </is>
      </c>
      <c r="F20" s="58" t="inlineStr">
        <is>
          <t>5492a2c</t>
        </is>
      </c>
      <c r="G20" s="58" t="inlineStr">
        <is>
          <t>No</t>
        </is>
      </c>
      <c r="H20" s="58" t="inlineStr">
        <is>
          <t>marcas de fichero 08:41-12:21 (total medido; reparto por tarea estimado)</t>
        </is>
      </c>
    </row>
    <row r="21">
      <c r="A21" s="57" t="n">
        <v>46274</v>
      </c>
      <c r="B21" s="58" t="inlineStr">
        <is>
          <t>AN</t>
        </is>
      </c>
      <c r="C21" s="58" t="inlineStr">
        <is>
          <t>AN-4</t>
        </is>
      </c>
      <c r="D21" s="58" t="n">
        <v>1</v>
      </c>
      <c r="E21" s="58" t="inlineStr">
        <is>
          <t>Recibir el PTT con la app cerrada: foreground service de tipo specialUse (mediaPlayback no se puede arrancar desde BOOT_COMPLETED con targetSdk 35+), atado al estado de sesion porque un telefono en el canal sin PIN es lo que prohibe el workflow 34; notificacion que dice quien esta hablando, BootReceiver y permiso de notificaciones. Compila; sin probar en aparatos</t>
        </is>
      </c>
      <c r="F21" s="58" t="inlineStr">
        <is>
          <t>5492a2c</t>
        </is>
      </c>
      <c r="G21" s="58" t="inlineStr">
        <is>
          <t>No</t>
        </is>
      </c>
      <c r="H21" s="58" t="inlineStr">
        <is>
          <t>marcas de fichero 08:41-12:21 (total medido; reparto por tarea estimado)</t>
        </is>
      </c>
    </row>
    <row r="22" s="38">
      <c r="A22" s="57" t="n">
        <v>46274</v>
      </c>
      <c r="B22" s="58" t="inlineStr">
        <is>
          <t>AN</t>
        </is>
      </c>
      <c r="C22" s="58" t="inlineStr">
        <is>
          <t>AN-5</t>
        </is>
      </c>
      <c r="D22" s="58" t="n">
        <v>0.5</v>
      </c>
      <c r="E22" s="58" t="inlineStr">
        <is>
          <t>Armazon del video de las gafas: cliente HTTP contra 192.168.43.1 con los sockets atados a SU punto de acceso (nada de bindProcessToNetwork, que dejaria a Agora, subidas y mapa sin red) y descarga directa a la boveda cifrada, sin pasar por la galeria. Los tres datos del protocolo quedan marcados y NO inventados: hacen falta las gafas y una captura de trafico</t>
        </is>
      </c>
      <c r="F22" s="58" t="inlineStr">
        <is>
          <t>sin commitear</t>
        </is>
      </c>
      <c r="G22" s="58" t="inlineStr">
        <is>
          <t>No</t>
        </is>
      </c>
      <c r="H22" s="58" t="inlineStr">
        <is>
          <t>marcas de fichero 08:41-12:21 (total medido; reparto por tarea estimado)</t>
        </is>
      </c>
    </row>
    <row r="23">
      <c r="A23" s="57" t="n">
        <v>46274</v>
      </c>
      <c r="B23" s="58" t="inlineStr">
        <is>
          <t>BC</t>
        </is>
      </c>
      <c r="C23" s="58" t="n"/>
      <c r="D23" s="58" t="n">
        <v>1</v>
      </c>
      <c r="E23" s="58" t="inlineStr">
        <is>
          <t>Reunion</t>
        </is>
      </c>
      <c r="F23" s="58" t="n"/>
      <c r="G23" s="58" t="inlineStr">
        <is>
          <t>No</t>
        </is>
      </c>
      <c r="H23" s="58" t="inlineStr">
        <is>
          <t>indicado por el usuario</t>
        </is>
      </c>
    </row>
    <row r="24" s="38">
      <c r="A24" s="57" t="n">
        <v>46274</v>
      </c>
      <c r="B24" s="58" t="inlineStr">
        <is>
          <t>AN</t>
        </is>
      </c>
      <c r="C24" s="58" t="inlineStr">
        <is>
          <t>AN-7</t>
        </is>
      </c>
      <c r="D24" s="58" t="n">
        <v>3</v>
      </c>
      <c r="E24" s="58" t="inlineStr">
        <is>
          <t>Boveda, categorizacion en bruto: la evidencia que llega de un periferico (gafas, bodycam) entra SIN incidente y la coloca el agente despues. Tabla raw_evidence con su DAO y BD a v2, apartado PENDING CATEGORIZATION arriba de la boveda, y dialogo de categorizacion con clasificacion, incidente y etiqueta: el agente elige un incidente ya abierto o crea uno nuevo. Dos reglas de diseno: el incidente que se crea se fecha en la GRABACION y no en el momento de categorizar, y lo que no se categoriza se queda en bruto con su fecha, no se pierde ni se le inventa un incidente. SESION QUE FALTABA EN EL LIBRO, detectada el 13-sep.</t>
        </is>
      </c>
      <c r="F24" s="58" t="inlineStr">
        <is>
          <t>22768a9</t>
        </is>
      </c>
      <c r="G24" s="58" t="inlineStr">
        <is>
          <t>No</t>
        </is>
      </c>
      <c r="H24" s="58" t="inlineStr">
        <is>
          <t>marcas de fichero 13:13-15:57 (2,7 h medidas), redondeado al alza a 3 h</t>
        </is>
      </c>
    </row>
    <row r="25">
      <c r="A25" s="57" t="n">
        <v>46274</v>
      </c>
      <c r="B25" s="58" t="inlineStr">
        <is>
          <t>AN</t>
        </is>
      </c>
      <c r="C25" s="58" t="inlineStr">
        <is>
          <t>AN-5</t>
        </is>
      </c>
      <c r="D25" s="58" t="n">
        <v>1.3</v>
      </c>
      <c r="E25" s="58" t="inlineStr">
        <is>
          <t>Gafas BleeqUp, el WiFi resuelto. Integracion del SDK que entrego el fabricante (AAR en app/libs, OkHttp y Gson declarados a mano porque un .aar no trae sus dependencias, regla -keep de R8 para que Gson siga leyendo su JSON en release) y protocolo sacado de su bytecode: endpoints de listado, descarga con Range y borrado. LA CAUSA DEL FALLO: el SDK mete el codigo de pais del telefono en la orden BLE y el AP de las gafas emite en el canal 149 (5745 MHz), no permitido en Europa, asi que con ES el firmware se niega; con CN o US enciende. Ademas las gafas NO se anuncian nunca por BLE, asi que el escaneo del propio SDK no puede encontrarlas y hay que entregarle el aparato emparejado. Verificado de punta a punta en el Samsung: AP encendido, telefono unido y listado real de video e imagenes contra https://192.168.43.1</t>
        </is>
      </c>
      <c r="F25" s="58" t="inlineStr">
        <is>
          <t>sin commitear</t>
        </is>
      </c>
      <c r="G25" s="58" t="inlineStr">
        <is>
          <t>No</t>
        </is>
      </c>
      <c r="H25" s="58" t="inlineStr">
        <is>
          <t>reloj de sesion 21:05-22:25</t>
        </is>
      </c>
    </row>
    <row r="26" s="38">
      <c r="A26" s="57" t="n">
        <v>46276</v>
      </c>
      <c r="B26" s="58" t="inlineStr">
        <is>
          <t>AN</t>
        </is>
      </c>
      <c r="C26" s="58" t="inlineStr">
        <is>
          <t>AN-6</t>
        </is>
      </c>
      <c r="D26" s="58" t="n">
        <v>1.8</v>
      </c>
      <c r="E26" s="58" t="inlineStr">
        <is>
          <t>Video original + proxy y SOS en la nube (telefono). Peticion del manager: original a 1080p sin recomprimir y copia de 720p/15 para que el backend la procese con un LLM. Grabacion con CameraX dentro de la app (el intent de la camara del sistema no deja fijar resolucion), proxy con Media3 Transformer cifrado y borrado al entregarse, subida kind=proxy antes que el original y reanudable. SOS desde la camara: cierra la grabacion, cede la camara al livestream y la reanuda al cancelar; avisos sos/start, latido y stop al backend para Agora Cloud Recording. Especificacion para backend (docs/BACKEND-PROXY-AND-SOS.md). Fallo cazado probando: CameraX recortaba el video a 886x1920. Verificado en el Samsung: original 1920x1080 a 30 fps, proxy 1280x720 a 15 fps, enlace por hash y SOS completo contra stubs</t>
        </is>
      </c>
      <c r="F26" s="58" t="inlineStr">
        <is>
          <t>sin commitear</t>
        </is>
      </c>
      <c r="G26" s="58" t="inlineStr">
        <is>
          <t>No</t>
        </is>
      </c>
      <c r="H26" s="58" t="inlineStr">
        <is>
          <t>reloj de sesion 14:26-16:30 (2,1 h medidas), redondeado al alza a 3 h por indicacion del usuario; reparto por app estimado</t>
        </is>
      </c>
    </row>
    <row r="27" s="38">
      <c r="A27" s="57" t="n">
        <v>46276</v>
      </c>
      <c r="B27" s="58" t="inlineStr">
        <is>
          <t>BC</t>
        </is>
      </c>
      <c r="C27" s="58" t="inlineStr">
        <is>
          <t>BC-9</t>
        </is>
      </c>
      <c r="D27" s="58" t="n">
        <v>1.2</v>
      </c>
      <c r="E27" s="58" t="inlineStr">
        <is>
          <t>Video original + proxy y SOS en la nube (bodycam). El original deja de recodificarse (hasta hoy el rotulo del oficial se quemaba en la evidencia sellada): remux sin tocar los frames. Grabacion a 1080p cuando la camara lo ofrece (la W1 da 1920x1088), proxy de 720/15 con el rotulo solo ahi, bloque proxy en el manifest, subida manifest-proxy-original y aviso del SOS al backend. Verificado en la W1: el MP4 subido es el que escribio la camara (mismo hash), proxy 1264x720 a 14,9 fps, SOS completo contra stubs. Medido: la W1 graba a ~24-25 fps a cualquier resolucion</t>
        </is>
      </c>
      <c r="F27" s="58" t="inlineStr">
        <is>
          <t>sin commitear</t>
        </is>
      </c>
      <c r="G27" s="58" t="inlineStr">
        <is>
          <t>No</t>
        </is>
      </c>
      <c r="H27" s="58" t="inlineStr">
        <is>
          <t>reloj de sesion 14:26-16:30 (2,1 h medidas), redondeado al alza a 3 h por indicacion del usuario; reparto por app estimado</t>
        </is>
      </c>
    </row>
    <row r="28">
      <c r="A28" s="57" t="n">
        <v>46277</v>
      </c>
      <c r="B28" s="58" t="inlineStr">
        <is>
          <t>AN</t>
        </is>
      </c>
      <c r="C28" s="58" t="inlineStr">
        <is>
          <t>AN-5</t>
        </is>
      </c>
      <c r="D28" s="58" t="n">
        <v>3</v>
      </c>
      <c r="E28" s="58" t="inlineStr">
        <is>
          <t>Mando a distancia de las gafas BleeqUp desde Nexus: arrancar y parar la grabacion y hacer foto por BLE, que hasta hoy no se podia (la app solo miraba si estaban enlazadas). Canal de mando propio (GafasCommandRepository) sobre el GATT del fabricante, con el arranque del SDK y el puente al aparato emparejado extraidos a un solo sitio (GafasSdkPuente), pantalla FALCON LENS con estado de los dos enlaces, resolucion y espacio libre de la tarjeta, y segundo boton de aparato en Operations. El GATT se suelta al salir de la pantalla: si se queda abierto, Android reusa el enlace cacheado y las escrituras siguientes fallan. LIMITE DEL SDK, escrito en pantalla: no existe ninguna orden para preguntar si las gafas estan grabando, asi que el indicador es la ultima orden dada y no un hecho; si el agente usa el boton fisico, el telefono no se entera. COMPILA SIN WARNINGS, SIN PROBAR CONTRA LAS GAFAS: no habia aparatos por adb</t>
        </is>
      </c>
      <c r="F28" s="58" t="inlineStr">
        <is>
          <t>sin commitear</t>
        </is>
      </c>
      <c r="G28" s="58" t="inlineStr">
        <is>
          <t>No</t>
        </is>
      </c>
      <c r="H28" s="58" t="inlineStr">
        <is>
          <t>indicado por el usuario</t>
        </is>
      </c>
    </row>
    <row r="29">
      <c r="A29" s="57" t="n">
        <v>46278</v>
      </c>
      <c r="B29" s="58" t="inlineStr">
        <is>
          <t>AN</t>
        </is>
      </c>
      <c r="C29" s="58" t="inlineStr">
        <is>
          <t>AN-8</t>
        </is>
      </c>
      <c r="D29" s="58" t="n">
        <v>7</v>
      </c>
      <c r="E29" s="58" t="inlineStr">
        <is>
          <t>Rele de la bodycam a las gafas, de punta a punta, mas repaso de interfaz. El oficial pulsa grabar o el SOS en la camara del pecho y las gafas graban solas, sin tocar el telefono (peticion del manager). Canal BLE permanente con reintento, estado de grabacion honesto con los botones fisicos, notificacion de video pendiente, descarga completa por el WiFi de las gafas hasta la boveda cifrada, y aviso sonoro si un SOS se queda sin gafas. Antes, desmontado el AAR del fabricante para sacar el protocolo HTTP, que no estaba documentado. Verificado contra la W1 y las gafas: del boton al fichero cifrado en 14 s. Interfaz: todos los textos pasados a ingles, barra superior unificada en todas las pantallas con el patron de Android (un solo Scaffold envolviendo el NavHost), los mandos de los perifericos movidos a los iconos de esa barra, PTT con el peso del boton de emergencia y ficha del oficial visible sin scroll en la pantalla de PIN. Repaso general: arreglado un fallo que reventaba la boveda al abrirla, otro de nombres de fichero que se pisaban en descargas en lote, y una excepcion de API 28 capturada con minSdk 26 que habria tumbado el alta de identidad en Android 8.</t>
        </is>
      </c>
      <c r="F29" s="58" t="inlineStr">
        <is>
          <t>347abb0, 8b9175b, 69c7530</t>
        </is>
      </c>
      <c r="G29" s="58" t="inlineStr">
        <is>
          <t>No</t>
        </is>
      </c>
      <c r="H29" s="58" t="inlineStr">
        <is>
          <t>marcas de fichero 15:13-21:46 (6,6 h medidas), redondeado al alza a 7 h</t>
        </is>
      </c>
    </row>
    <row r="31">
      <c r="C31" s="43" t="inlineStr">
        <is>
          <t>TOTAL HORAS</t>
        </is>
      </c>
      <c r="D31" s="43">
        <f>SUM($D$4:$D$29)</f>
        <v/>
      </c>
    </row>
    <row r="33" ht="58" customHeight="1" s="38">
      <c r="A33" s="61" t="inlineStr">
        <is>
          <t>AN-2 = identidad, credencial, PIN y sesión (workflows 12, 3, 4, 27). AN-3 y BC-7 = emparejamiento y atadura con la bodycam (13, 31, 33, 34). AN-4 y BC-8 = PTT por Agora (voz de la bodycam a todos los teléfonos, y PTT propio del teléfono). AN-5 = gafas BleeqUp (enlace BT y análisis de viabilidad).   ORIGEN DE LAS HORAS: las del 4, el 6 y el 8 de septiembre salen del reloj de sesión o de marcas de fichero; el reparto por tarea dentro del 6 y el reparto por app del 8 son estimaciones sobre un total medido. La fila del 3 de septiembre está ESTIMADA y hay que confirmarla antes de facturar. El 8 de septiembre no cuenta el hueco 16:39-17:40. Las cuatro filas de desarrollo del 9 de septiembre salen de las marcas de fichero de la sesion (08:41-12:21, 3,7 h medidas) y su reparto por tarea es una estimacion; la hora de reunion de ese dia la indico el usuario y va sin bloque, como las reuniones de agosto. La fila de la tarde del 9 (gafas, 1,3 h) sale del reloj de sesion 21:05-22:25. Las 3 h del 7 de septiembre las indicó el usuario; las marcas de fichero de ese día van de 21:05 a 23:02.   LÍNEAS DE CÓDIGO: líneas .kt añadidas en el mes, medidas con git (commits del 4, 6, 8 y 9, mas el armazon de las gafas y la integracion del SDK del 9, ambos sin commitear; más el armazón de las gafas del 9, todavía sin commitear).   11 DE SEPTIEMBRE: AN-6 y BC-9 = video original a 1080p sin recodificar, proxy de 720p/15 para el LLM del backend y aviso del SOS para Agora Cloud Recording. Las dos filas salen del reloj de sesion 14:26-16:30 (2,1 h medidas) redondeado al alza a 3 h por indicacion del usuario; el reparto 1,8 AN / 1,2 BC es estimacion. Lineas del 11, sin commitear: 462 en BC medidas con git y ficheros nuevos; unas 1.169 en AN, de ellas ~80 estimadas en tres ficheros que ya traian cambios de antes.   12 DE SEPTIEMBRE: AN-5 = mando a distancia de las gafas (grabar, parar y foto por BLE). Las 3 h las indico el usuario. Lineas del 12, sin commitear: 975 anadidas medidas con git, de las cuales unas 110 no son codigo nuevo sino movido de otros ficheros (el puente del SDK sale de GafasApPrueba y el boton de accion sale del controlador de la bodycam), asi que lo genuinamente nuevo son unas 865.   REGLA DE REDONDEO (desde el 13-sep, indicada por el usuario): las horas se redondean SIEMPRE AL ALZA al medio punto. 2,7 medidas se imputan como 3; 2,1 como 2,5; 2,5 se queda en 2,5. Las filas anteriores al 13-sep se dejan como estaban.   TARDE DEL 9 DE SEPTIEMBRE (anadida el 13-sep): AN-7 = boveda, categorizacion de evidencia en bruto de los perifericos. Esta sesion NO estaba en el libro: las cuatro filas de desarrollo del 9 salen de las marcas 08:41-12:21 y la de las gafas del reloj 21:05-22:25, y esta cae en medio. Las marcas de fichero la situan entre 13:13 y 15:57 (2,7 h medidas), redondeadas al alza a 3 h. Fue a parar al commit 22768a9, que arrastra tambien el trabajo del 11. Lineas: 476 anadidas medidas con git en los cuatro ficheros que son solo de esta sesion (RawEvidenceEntities, RawEvidenceRepository, CategorizeDialog e IncidentDao). Hay otras 325 en IncidentRepository, IncidentDatabase, VaultScreen y VaultViewModel que NO se suman aqui porque podrian estar ya contadas en las filas del 11.   13 DE SEPTIEMBRE: AN-8 = rele de la bodycam a las gafas, mas repaso de interfaz. El oficial pulsa grabar o el SOS del pecho y las gafas graban solas; el telefono hace de puente porque las gafas solo entienden el SDK del fabricante, que corre en Android. Incluye canal BLE permanente, estado de grabacion honesto, aviso de video pendiente, descarga por el WiFi de las gafas hasta la boveda cifrada, aviso sonoro si un SOS se queda sin gafas, textos en ingles, barra superior unificada con el patron de Android y arreglos de la revision (boveda que reventaba al abrirse, nombres de fichero que se pisaban, y una excepcion de API 28 capturada con minSdk 26). Verificado contra el hardware el mismo dia. Las horas salen de marcas de fichero 15:13-21:46 (6,6 h medidas) redondeadas al alza a 7 h segun la regla de redondeo; NO se cuenta el analisis inicial de esta propia tabla, que fue antes de la primera marca. Lineas del 13: 2.816 anadidas medidas con git sobre los tres commits del dia; de ellas 527 son sondas de depuracion que NO van a release.</t>
        </is>
      </c>
    </row>
  </sheetData>
  <mergeCells count="3">
    <mergeCell ref="A33:H33"/>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2026-08-30T19:55:45Z</dcterms:created>
  <dcterms:modified xmlns:dcterms="http://purl.org/dc/terms/" xmlns:xsi="http://www.w3.org/2001/XMLSchema-instance" xsi:type="dcterms:W3CDTF">2026-09-13T19:55:18Z</dcterms:modified>
</cp:coreProperties>
</file>