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2026-08" sheetId="1" state="visible" r:id="rId1"/>
    <sheet name="2026-09" sheetId="2" state="visible" r:id="rId2"/>
    <sheet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t>
        </is>
      </c>
      <c r="L6" s="13">
        <f>SUMPRODUCT(($B$4:$B$65="AN")/COUNTIFS($A$4:$A$65,$A$4:$A$65&amp;"",$B$4:$B$65,$B$4:$B$65&amp;""))</f>
        <v/>
      </c>
      <c r="M6" s="13" t="n">
        <v>1043</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t>
        </is>
      </c>
      <c r="J7" s="13" t="inlineStr">
        <is>
          <t>aeria-nexus (backend)</t>
        </is>
      </c>
      <c r="K7" s="11" t="inlineStr">
        <is>
          <t>NX-5, NX-6</t>
        </is>
      </c>
      <c r="L7" s="13">
        <f>SUMPRODUCT(($B$4:$B$65="NX")/COUNTIFS($A$4:$A$65,$A$4:$A$65&amp;"",$B$4:$B$65,$B$4:$B$65&amp;""))</f>
        <v/>
      </c>
      <c r="M7" s="13" t="n">
        <v>2648</v>
      </c>
      <c r="N7" s="13">
        <f>SUMIFS($D$4:$D$65,$B$4:$B$65,"NX",$G$4:$G$65,"&lt;&gt;Sí")</f>
        <v/>
      </c>
      <c r="O7" s="9">
        <f>N7*$K$9</f>
        <v/>
      </c>
    </row>
    <row r="8" s="15">
      <c r="A8" s="18" t="n">
        <v>46304</v>
      </c>
      <c r="B8" s="19" t="inlineStr">
        <is>
          <t>NX</t>
        </is>
      </c>
      <c r="C8" s="19" t="inlineStr">
        <is>
          <t>NX-6</t>
        </is>
      </c>
      <c r="D8" s="19" t="n">
        <v>2</v>
      </c>
      <c r="E8" s="19" t="inlineStr">
        <is>
          <t>Tres niveles de usuario y altas desde el panel (rama dev_whisper_text de aeria-nexus). superadmin / admin / user como paquetes de los siete roles IAM, que no se tocan. Endpoints /api/users/ (alta, cambio de nivel, suspension, acceso al panel con TOTP) y pantalla /users con codigo QR; el menu ensena a quien ha entrado. Arreglado el CSRF del panel: ningun POST funcionaba en el navegador. Codigos de error estables en los 401/403 (cuerpo y cabecera X-Error-Code). El backend entrega nombre, rango y placa al telefono (profile en sesion y enrolamiento). Atribucion de la evidencia a quien la grabo (officer_user_id, NOAGENT) y piezas de un incidente atadas entre telefonos distintos. Endpoints de SOS (start, heartbeat, stop), que daban 404, y sesion restringida sos_only para que el SOS de un agente suspendido llegue; sin grabacion en la nube de Agora. Coordinacion y revision de las sesiones del movil y de la bodycam contra iam-session.md; contrato en aeria-contracts (iam-session 3.1, 5.7, 5.8, 6 y 9; upload-protocol 5.1 y 5.2). Migraciones 0017 y 0018. 333 tests en verde, 53 nuevos. LA PANTALLA /users NO SE HA ABIERTO EN UN NAVEGADOR; nada probado con dispositivos reales</t>
        </is>
      </c>
      <c r="F8" s="19" t="inlineStr">
        <is>
          <t>sin commitear</t>
        </is>
      </c>
      <c r="G8" s="19" t="inlineStr">
        <is>
          <t>No</t>
        </is>
      </c>
      <c r="H8" s="19" t="inlineStr">
        <is>
          <t>2 h</t>
        </is>
      </c>
      <c r="J8" s="10" t="inlineStr">
        <is>
          <t>TOTAL DEL MES</t>
        </is>
      </c>
      <c r="K8" s="13">
        <f>SUMPRODUCT(($C$4:$C$65&lt;&gt;"")/COUNTIF($C$4:$C$65,$C$4:$C$65&amp;""))</f>
        <v/>
      </c>
      <c r="L8" s="13">
        <f>SUMPRODUCT(($A$4:$A$65&lt;&gt;"")/COUNTIF($A$4:$A$65,$A$4:$A$65&amp;""))</f>
        <v/>
      </c>
      <c r="M8" s="10">
        <f>SUM(M5:M7)</f>
        <v/>
      </c>
      <c r="N8" s="10">
        <f>SUM(N5:N7)</f>
        <v/>
      </c>
      <c r="O8" s="12">
        <f>SUM(O5:O7)</f>
        <v/>
      </c>
    </row>
    <row r="9">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c r="B10" s="19" t="n"/>
      <c r="C10" s="19" t="n"/>
      <c r="D10" s="19" t="n"/>
      <c r="E10" s="19" t="n"/>
      <c r="F10" s="19" t="n"/>
      <c r="G10" s="19" t="n"/>
      <c r="H10" s="19" t="n"/>
      <c r="J10" s="2" t="n"/>
      <c r="K10" s="2" t="n"/>
      <c r="L10" s="2" t="n"/>
      <c r="M10" s="2" t="n"/>
      <c r="N10" s="2" t="n"/>
      <c r="O10" s="2" t="n"/>
    </row>
    <row r="11">
      <c r="A11" s="18" t="n"/>
      <c r="B11" s="19" t="n"/>
      <c r="C11" s="19" t="n"/>
      <c r="D11" s="19" t="n"/>
      <c r="E11" s="19" t="n"/>
      <c r="F11" s="19" t="n"/>
      <c r="G11" s="19" t="n"/>
      <c r="H11" s="19" t="n"/>
      <c r="J11" s="2" t="n"/>
      <c r="K11" s="2" t="n"/>
      <c r="L11" s="2" t="n"/>
      <c r="M11" s="2" t="n"/>
      <c r="N11" s="2" t="n"/>
      <c r="O11" s="2" t="n"/>
    </row>
    <row r="12">
      <c r="A12" s="18" t="n"/>
      <c r="B12" s="19" t="n"/>
      <c r="C12" s="19" t="n"/>
      <c r="D12" s="19" t="n"/>
      <c r="E12" s="19" t="n"/>
      <c r="F12" s="19" t="n"/>
      <c r="G12" s="19" t="n"/>
      <c r="H12" s="19" t="n"/>
      <c r="J12" s="2" t="n"/>
      <c r="K12" s="2" t="n"/>
      <c r="L12" s="2" t="n"/>
      <c r="M12" s="2" t="n"/>
      <c r="N12" s="2" t="n"/>
      <c r="O12" s="2" t="n"/>
    </row>
    <row r="13">
      <c r="A13" s="18" t="n"/>
      <c r="B13" s="19" t="n"/>
      <c r="C13" s="19" t="n"/>
      <c r="D13" s="19" t="n"/>
      <c r="E13" s="19" t="n"/>
      <c r="F13" s="19" t="n"/>
      <c r="G13" s="19" t="n"/>
      <c r="H13" s="19" t="n"/>
      <c r="J13" s="2" t="n"/>
      <c r="K13" s="2" t="n"/>
      <c r="L13" s="2" t="n"/>
      <c r="M13" s="2" t="n"/>
      <c r="N13" s="2" t="n"/>
      <c r="O13" s="2" t="n"/>
    </row>
    <row r="14">
      <c r="A14" s="18" t="n"/>
      <c r="B14" s="19" t="n"/>
      <c r="C14" s="19" t="n"/>
      <c r="D14" s="19" t="n"/>
      <c r="E14" s="19" t="n"/>
      <c r="F14" s="19" t="n"/>
      <c r="G14" s="19" t="n"/>
      <c r="H14" s="19" t="n"/>
      <c r="J14" s="2" t="n"/>
      <c r="K14" s="2" t="n"/>
      <c r="L14" s="2" t="n"/>
      <c r="M14" s="2" t="n"/>
      <c r="N14" s="2" t="n"/>
      <c r="O14" s="2" t="n"/>
    </row>
    <row r="15">
      <c r="A15" s="18" t="n"/>
      <c r="B15" s="19" t="n"/>
      <c r="C15" s="19" t="n"/>
      <c r="D15" s="19" t="n"/>
      <c r="E15" s="19" t="n"/>
      <c r="F15" s="19" t="n"/>
      <c r="G15" s="19" t="n"/>
      <c r="H15" s="19" t="n"/>
      <c r="J15" s="2" t="n"/>
      <c r="K15" s="2" t="n"/>
      <c r="L15" s="2" t="n"/>
      <c r="M15" s="2" t="n"/>
      <c r="N15" s="2" t="n"/>
      <c r="O15" s="2" t="n"/>
    </row>
    <row r="16">
      <c r="A16" s="18" t="n"/>
      <c r="B16" s="19" t="n"/>
      <c r="C16" s="19" t="n"/>
      <c r="D16" s="19" t="n"/>
      <c r="E16" s="19" t="n"/>
      <c r="F16" s="19" t="n"/>
      <c r="G16" s="19" t="n"/>
      <c r="H16" s="19" t="n"/>
      <c r="J16" s="2" t="n"/>
      <c r="K16" s="2" t="n"/>
      <c r="L16" s="2" t="n"/>
      <c r="M16" s="2" t="n"/>
      <c r="N16" s="2" t="n"/>
      <c r="O16" s="2" t="n"/>
    </row>
    <row r="17">
      <c r="A17" s="18" t="n"/>
      <c r="B17" s="19" t="n"/>
      <c r="C17" s="19" t="n"/>
      <c r="D17" s="19" t="n"/>
      <c r="E17" s="19" t="n"/>
      <c r="F17" s="19" t="n"/>
      <c r="G17" s="19" t="n"/>
      <c r="H17" s="19" t="n"/>
      <c r="J17" s="2" t="n"/>
      <c r="K17" s="2" t="n"/>
      <c r="L17" s="2" t="n"/>
      <c r="M17" s="2" t="n"/>
      <c r="N17" s="2" t="n"/>
      <c r="O17" s="2" t="n"/>
    </row>
    <row r="18">
      <c r="A18" s="18" t="n"/>
      <c r="B18" s="19" t="n"/>
      <c r="C18" s="19" t="n"/>
      <c r="D18" s="19" t="n"/>
      <c r="E18" s="19" t="n"/>
      <c r="F18" s="19" t="n"/>
      <c r="G18" s="19" t="n"/>
      <c r="H18" s="19" t="n"/>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once ficheros .kt existentes y 254 en tres nuevos: PerfilDelAgente, EnrollmentAgenteForm y ProfileCutDialog); no se cuentan DEVLOG ni la documentacion.   NX-6 = tres niveles de usuario, altas desde el panel, codigos de error, atribucion de la evidencia a quien la grabo y SOS (endpoints y sesion restringida de un suspendido).   LINEAS DE CODIGO DEL 9-oct en NX, sin commitear, medidas con git: 2.556 anadidas (2.019 en nueve ficheros nuevos: iam_levels, iam_user_views, sos_models, sos_views, test_user_admin, test_sos, las migraciones 0017 y 0018 y la pagina /users del panel; 449 en ficheros existentes del backend y del panel; y 88 de test_tus, descontadas las ~45 del 2-oct que siguen sin commitear en ese fichero). De ellas, unas 800 son tests. No se cuentan package-lock.json, el DEVLOG ni la documentacion de aeria-contracts.</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2026-08-30T19:55:45Z</dcterms:created>
  <dcterms:modified xsi:type="dcterms:W3CDTF">2026-10-09T14:27:14Z</dcterms:modified>
</cp:coreProperties>
</file>